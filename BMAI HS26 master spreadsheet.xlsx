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5"/>
    <sheet state="visible" name="Legacy Syllabus" sheetId="2" r:id="rId6"/>
    <sheet state="visible" name="Project grading scheme" sheetId="3" r:id="rId7"/>
    <sheet state="visible" name="Office hours" sheetId="4" r:id="rId8"/>
    <sheet state="visible" name="Yellow pages" sheetId="5" r:id="rId9"/>
  </sheets>
  <definedNames/>
  <calcPr/>
</workbook>
</file>

<file path=xl/sharedStrings.xml><?xml version="1.0" encoding="utf-8"?>
<sst xmlns="http://schemas.openxmlformats.org/spreadsheetml/2006/main" count="783" uniqueCount="321">
  <si>
    <t xml:space="preserve"> </t>
  </si>
  <si>
    <t>BMAI-project-1-grading-scheme</t>
  </si>
  <si>
    <t>Feb 20/21 Neural networks and SGD</t>
  </si>
  <si>
    <t>March 6/7 Computer vision</t>
  </si>
  <si>
    <t>March 20/21 NLP</t>
  </si>
  <si>
    <t>Sep 4/5 Vapnik's SLT</t>
  </si>
  <si>
    <t>April 10/11 Riemannian geometry</t>
  </si>
  <si>
    <t>Slack</t>
  </si>
  <si>
    <t>To discuss kickoff W4</t>
  </si>
  <si>
    <t>Sep 18/19 NLP</t>
  </si>
  <si>
    <t>Oct 2/3 Computer vision</t>
  </si>
  <si>
    <t>Oct 23/24 Riemannian geometry</t>
  </si>
  <si>
    <t>2 weeks later</t>
  </si>
  <si>
    <t>3 weeks later</t>
  </si>
  <si>
    <t>= 2 hours</t>
  </si>
  <si>
    <t>Stefan Cadar and the delphi-like processes</t>
  </si>
  <si>
    <t>Friday</t>
  </si>
  <si>
    <t>What happens to interpretability and explainability?</t>
  </si>
  <si>
    <t>hs26-bmai-w1-xxx</t>
  </si>
  <si>
    <t>BMAI FS26 - Office hours presence</t>
  </si>
  <si>
    <t>Intro and onboarding</t>
  </si>
  <si>
    <t>[Mattia, Dimitrios] CNNs</t>
  </si>
  <si>
    <t>Attention mechanisms and the transformer</t>
  </si>
  <si>
    <t>Manifolds and VAEs</t>
  </si>
  <si>
    <t>Re-intro to ML and the ML pipeline</t>
  </si>
  <si>
    <t>CX: CNNs</t>
  </si>
  <si>
    <t>BMAI-project-2.1-CV-grading-scheme</t>
  </si>
  <si>
    <t>CX Manifold games</t>
  </si>
  <si>
    <t>[Konstantinos] CX: Re-intro to ML</t>
  </si>
  <si>
    <t>Coffee break at Polysnack</t>
  </si>
  <si>
    <t>Interpretability and explainability: SHAP and Lime</t>
  </si>
  <si>
    <t>Conditional VAEs and age progression</t>
  </si>
  <si>
    <t>Autoencoders</t>
  </si>
  <si>
    <t>CNNs</t>
  </si>
  <si>
    <t>Loss functions, sigmoid, and softmax</t>
  </si>
  <si>
    <t>First-order approximation algorithms</t>
  </si>
  <si>
    <t>CX: Autoencoders</t>
  </si>
  <si>
    <t>Kahoot and gradient descent</t>
  </si>
  <si>
    <t>Notes:</t>
  </si>
  <si>
    <t>CX: Interpretability and explainability: SHAP and Lime</t>
  </si>
  <si>
    <t>CX: Conditional VAE with demo :)</t>
  </si>
  <si>
    <t>BMAI-project-2.2-Fashion-grading-scheme</t>
  </si>
  <si>
    <t>Welcome presentation by Maria Polito</t>
  </si>
  <si>
    <t>Lab session</t>
  </si>
  <si>
    <t>Lunch break at Dozentenfoyer</t>
  </si>
  <si>
    <t>To discuss poster W3</t>
  </si>
  <si>
    <t>CX: First-order optimization algorithms</t>
  </si>
  <si>
    <t xml:space="preserve">[Dimitrios, Alper] CX: SGD </t>
  </si>
  <si>
    <r>
      <rPr>
        <rFont val="Arial"/>
        <color theme="1"/>
      </rPr>
      <t xml:space="preserve">The office hours will be held </t>
    </r>
    <r>
      <rPr>
        <rFont val="Arial"/>
        <b/>
        <color theme="1"/>
      </rPr>
      <t>from 18:30 to 20:30.</t>
    </r>
  </si>
  <si>
    <t>[Giuseppe, Piyushi, Syrmatenia] CX: Autoencoders</t>
  </si>
  <si>
    <t>hs26-bmai-w1-opt-heron
hs26-bmai-w1-opt-genie-rm
hs26-bmai-w1-opt-rm-house</t>
  </si>
  <si>
    <t>Stable diffusion, CLIP, MAE</t>
  </si>
  <si>
    <t>Consider doing a PhD in CS education with me :)</t>
  </si>
  <si>
    <t>Attention</t>
  </si>
  <si>
    <t>Re-intro to NNs</t>
  </si>
  <si>
    <t>Diffusion</t>
  </si>
  <si>
    <t>Cross-attention mechanisms</t>
  </si>
  <si>
    <t>Zoom Link</t>
  </si>
  <si>
    <t>Subscribe to the forums in Moodle!</t>
  </si>
  <si>
    <t>BMAI-project-3-grading-scheme</t>
  </si>
  <si>
    <r>
      <rPr>
        <rFont val="Arial"/>
        <color theme="1"/>
      </rPr>
      <t xml:space="preserve">[Mattia] CX: Re-intro to NNs </t>
    </r>
    <r>
      <rPr>
        <rFont val="Arial"/>
        <b/>
        <color theme="1"/>
      </rPr>
      <t>APERO at 17:30</t>
    </r>
  </si>
  <si>
    <t>CX Diffusion</t>
  </si>
  <si>
    <t>Agentic AI</t>
  </si>
  <si>
    <t>Gradient descent</t>
  </si>
  <si>
    <t>CX: Conditional diffusion</t>
  </si>
  <si>
    <t>To discuss kickoff W3</t>
  </si>
  <si>
    <t xml:space="preserve">The office hours will be held online.
</t>
  </si>
  <si>
    <t>Saturday</t>
  </si>
  <si>
    <t>CX: Attention</t>
  </si>
  <si>
    <t>Contact Jutta on estimated number of people present</t>
  </si>
  <si>
    <t>CX: CNNs in PyTorch</t>
  </si>
  <si>
    <t>Counterfactual invariance</t>
  </si>
  <si>
    <t>UNets</t>
  </si>
  <si>
    <t>Clustering and RAG and vision transformers and quadtrees</t>
  </si>
  <si>
    <t>https://ethz.zoom.us/j/65235889876</t>
  </si>
  <si>
    <t>Adversarial attacks</t>
  </si>
  <si>
    <t>Post mortem W1</t>
  </si>
  <si>
    <t>CX gradient descent</t>
  </si>
  <si>
    <t>Travel agent 30 min presentation + 30 min CX</t>
  </si>
  <si>
    <t>hs26-bmai-w1-gd-grasshopper</t>
  </si>
  <si>
    <t>[Winston] CX: UNets</t>
  </si>
  <si>
    <t>CX: Agentic AI</t>
  </si>
  <si>
    <t>BMAI-project-4.1-generation-grading-scheme</t>
  </si>
  <si>
    <t>CX: Adversarial attacks</t>
  </si>
  <si>
    <t>Neural networks and universal approximation</t>
  </si>
  <si>
    <t>Changes to syllabus?</t>
  </si>
  <si>
    <t>Transformers</t>
  </si>
  <si>
    <t>Coffee break at Cafebar</t>
  </si>
  <si>
    <t>App 1: Octo-tree RAG</t>
  </si>
  <si>
    <t>CX travel agent</t>
  </si>
  <si>
    <t>Intro to projects</t>
  </si>
  <si>
    <t>Guest lecture: Christopher Makni</t>
  </si>
  <si>
    <t>Deepfake detection and generation</t>
  </si>
  <si>
    <t>App 2: Agentic AI (any ideas?)</t>
  </si>
  <si>
    <t>Project intro: Meeting to task</t>
  </si>
  <si>
    <t>CX: Neural networks</t>
  </si>
  <si>
    <t>hs26-bmai-w1-nn-universal-approx</t>
  </si>
  <si>
    <t>Project 4: Mini-deepfake generation and detection</t>
  </si>
  <si>
    <t>-</t>
  </si>
  <si>
    <t>CX Transformers</t>
  </si>
  <si>
    <t>Intro project 3 (Tax agent)</t>
  </si>
  <si>
    <t>CX: UNets</t>
  </si>
  <si>
    <t>To discuss poster W1</t>
  </si>
  <si>
    <t>Wildcard topics</t>
  </si>
  <si>
    <t>Syllabus last iteration -&gt;</t>
  </si>
  <si>
    <t>CAS AIS - Building AI/ML Apps, Fall 2025</t>
  </si>
  <si>
    <t>Vapnik's statistical learning theory</t>
  </si>
  <si>
    <t>BMAI-project-4.2-discrimination-grading-scheme</t>
  </si>
  <si>
    <t>Quiz!</t>
  </si>
  <si>
    <t>Each TA is expected to be present for 2 hours. Participants will book their office hours slot on Moodle (30-minutes slots). If you sign up for office hours slots in this sheet, you have to be available in case a participant signs up.</t>
  </si>
  <si>
    <t>Training neural networks with PyTorch</t>
  </si>
  <si>
    <t>CX Neural networks with PyTorch</t>
  </si>
  <si>
    <t>hs26-bmai-w1-nn-pytorch</t>
  </si>
  <si>
    <t>CX: Diffusion</t>
  </si>
  <si>
    <t>Weekend 1</t>
  </si>
  <si>
    <t>1st week</t>
  </si>
  <si>
    <t>Who makes slide with all facepics?</t>
  </si>
  <si>
    <t>Validation and overfitting</t>
  </si>
  <si>
    <t>BMAI FS26 examiner choice</t>
  </si>
  <si>
    <t>Kahoot recap</t>
  </si>
  <si>
    <t>2nd week</t>
  </si>
  <si>
    <t>CX Validation and overfitting</t>
  </si>
  <si>
    <t>hs26-bmai-w1-validation</t>
  </si>
  <si>
    <t>CX: Extra</t>
  </si>
  <si>
    <t>Project intro: LLM routing</t>
  </si>
  <si>
    <t>hs26-bmai-w1-project</t>
  </si>
  <si>
    <t>Weekend 2 (Mar 6/7)</t>
  </si>
  <si>
    <t>Project intro: Tax agent</t>
  </si>
  <si>
    <t>Project intro: Fashion magazine editor</t>
  </si>
  <si>
    <t>Approve the admin slides</t>
  </si>
  <si>
    <t>https://github.com/eth-bmai-hs26/scratch</t>
  </si>
  <si>
    <t>Clustering and RAG</t>
  </si>
  <si>
    <t>Pictogram games</t>
  </si>
  <si>
    <t>Manifold games</t>
  </si>
  <si>
    <t>The shadow TAs</t>
  </si>
  <si>
    <t>Ensembles and random forests</t>
  </si>
  <si>
    <t>Konstantinos</t>
  </si>
  <si>
    <t>Matina</t>
  </si>
  <si>
    <t>Setup examiner spreadsheet</t>
  </si>
  <si>
    <t xml:space="preserve">Kernel methods for </t>
  </si>
  <si>
    <t>Sigmoid and cross entropy loss</t>
  </si>
  <si>
    <t>Josef</t>
  </si>
  <si>
    <t>Juan?</t>
  </si>
  <si>
    <t>If you want to be an examiner</t>
  </si>
  <si>
    <t>GANs</t>
  </si>
  <si>
    <t>Christina</t>
  </si>
  <si>
    <t>Setup office hours</t>
  </si>
  <si>
    <t>More potential topics</t>
  </si>
  <si>
    <t>Conditional autoencoders and diff models</t>
  </si>
  <si>
    <t>Ghali</t>
  </si>
  <si>
    <t>Who presents each application?</t>
  </si>
  <si>
    <t>https://chatgpt.com/share/694d5a2e-dbf8-8010-bd2a-7875aa03c607</t>
  </si>
  <si>
    <t>TA 1</t>
  </si>
  <si>
    <t>Syrmatenia</t>
  </si>
  <si>
    <t>Interpretability &amp; Explainability: SHAP, Lime?</t>
  </si>
  <si>
    <t>Winston</t>
  </si>
  <si>
    <t>Alper?</t>
  </si>
  <si>
    <t>How big should teams be?</t>
  </si>
  <si>
    <t>Safe AI - maybe together with adversarial attacks?</t>
  </si>
  <si>
    <t>Giuseppe</t>
  </si>
  <si>
    <t>Interpretability and explainability</t>
  </si>
  <si>
    <t>Conditional VAE with demo :)</t>
  </si>
  <si>
    <t>Make sure everything is running well in Colab. Have a separate TA run and solve the Colab to verify that everything runs well</t>
  </si>
  <si>
    <t>Francesco</t>
  </si>
  <si>
    <t>How do participants access the notebooks for Colab?</t>
  </si>
  <si>
    <t>CX Theory</t>
  </si>
  <si>
    <t>Deli</t>
  </si>
  <si>
    <t>Colab Pro license admin TA</t>
  </si>
  <si>
    <t>Juan (Diffusion please 🙏🏻)</t>
  </si>
  <si>
    <t>Sanziana</t>
  </si>
  <si>
    <t>Proctor TA</t>
  </si>
  <si>
    <t>https://gitlab.ethz.ch/bmai/cx/2026fs</t>
  </si>
  <si>
    <t>TA 2</t>
  </si>
  <si>
    <t>Alper</t>
  </si>
  <si>
    <t>Everyone attend the first weekend!!</t>
  </si>
  <si>
    <r>
      <rPr>
        <color rgb="FF1155CC"/>
        <u/>
      </rPr>
      <t>https://outlook.office365.com/owa/calendar/043c973d6b13406f9a7639394ab985e6@student.ethz.ch/80bf8bc8a78b4185acea6135fd127c2816610583541802963693/calendar.ics</t>
    </r>
  </si>
  <si>
    <t>Piyushi</t>
  </si>
  <si>
    <t>Sofia</t>
  </si>
  <si>
    <t>Delì</t>
  </si>
  <si>
    <t>Mattia</t>
  </si>
  <si>
    <t>Dimitrios</t>
  </si>
  <si>
    <t>Daniele</t>
  </si>
  <si>
    <t>Mingle</t>
  </si>
  <si>
    <t>Fill yourselves with love, peace, and positive energy</t>
  </si>
  <si>
    <t xml:space="preserve">Weekend 1 Resources </t>
  </si>
  <si>
    <t>Conditional diffusion - linked to mini-deepfake app</t>
  </si>
  <si>
    <t>Apero at 17:30</t>
  </si>
  <si>
    <t>Weekend 2</t>
  </si>
  <si>
    <t>Scaffolding teaching PyTorch</t>
  </si>
  <si>
    <t>CX First-order optimization: Heron's algorithm</t>
  </si>
  <si>
    <t>hs26-bmai-w1-opt-heron</t>
  </si>
  <si>
    <t>3rd week</t>
  </si>
  <si>
    <t xml:space="preserve">Konstantinos? </t>
  </si>
  <si>
    <t>Jinlei</t>
  </si>
  <si>
    <t>Juan</t>
  </si>
  <si>
    <t>App developed by Carlos</t>
  </si>
  <si>
    <t>4th week</t>
  </si>
  <si>
    <t>Weekend 3 (Mar 20/21)</t>
  </si>
  <si>
    <t>https://outlook.office365.com/owa/calendar/043c973d6b13406f9a7639394ab985e6@student.ethz.ch/80bf8bc8a78b4185acea6135fd127c2816610583541802963693/calendar.ics</t>
  </si>
  <si>
    <t>CX app 1 (Meeting tasks)</t>
  </si>
  <si>
    <t>Title</t>
  </si>
  <si>
    <r>
      <rPr>
        <rFont val="Arial"/>
      </rPr>
      <t xml:space="preserve">Teaching plan: </t>
    </r>
    <r>
      <rPr>
        <rFont val="Arial"/>
        <color rgb="FF1155CC"/>
        <u/>
      </rPr>
      <t>https://www.overleaf.com/6246534572rhwckvrwdzgz#c494bd</t>
    </r>
  </si>
  <si>
    <t>Who?</t>
  </si>
  <si>
    <t>Tasks</t>
  </si>
  <si>
    <t>Who was here last semester?</t>
  </si>
  <si>
    <t>Stefan</t>
  </si>
  <si>
    <t>To discuss Feb 4th</t>
  </si>
  <si>
    <t>BMAI FS 26 Teaching plan weekend 1</t>
  </si>
  <si>
    <t>Ivan</t>
  </si>
  <si>
    <t>Admin TA</t>
  </si>
  <si>
    <t>Maintains the master spreadsheet and yellow pages, convokes meetings. Coordinates the staffing on weekends. Setup of the Moodle for the module.</t>
  </si>
  <si>
    <t>Supervises all performance assessments and promptly informs Carlos in case someone is lagging behind in the course. It compiles the final spreadsheet to be sent to the rector's office</t>
  </si>
  <si>
    <t>Stefan?</t>
  </si>
  <si>
    <t>Two volunteers for the tetris games</t>
  </si>
  <si>
    <t>Git repo CX BMAI</t>
  </si>
  <si>
    <t>Office hours TA</t>
  </si>
  <si>
    <t>ClawdBot</t>
  </si>
  <si>
    <t>Lamberto</t>
  </si>
  <si>
    <t>BMAI meetings calendar url</t>
  </si>
  <si>
    <r>
      <rPr>
        <rFont val="Arial"/>
        <color theme="1"/>
      </rPr>
      <t xml:space="preserve">Organizes office hours and ensures that they are </t>
    </r>
    <r>
      <rPr>
        <rFont val="Arial"/>
        <b/>
        <color theme="1"/>
      </rPr>
      <t>always</t>
    </r>
    <r>
      <rPr>
        <rFont val="Arial"/>
        <color theme="1"/>
      </rPr>
      <t xml:space="preserve"> well staffed.</t>
    </r>
  </si>
  <si>
    <t>Francesco?</t>
  </si>
  <si>
    <t>Division of theory and app TAs</t>
  </si>
  <si>
    <t>CX app 2 (Tool classifier)</t>
  </si>
  <si>
    <t>CX app 1 (Warehouse Manager)</t>
  </si>
  <si>
    <t>CX First-order optimization: 
Genie game and Robbins-Monro</t>
  </si>
  <si>
    <t>hs26-bmai-w1-opt-genie-rm</t>
  </si>
  <si>
    <t>Theory TAs come up with concepts for CX</t>
  </si>
  <si>
    <t>Weekend 3</t>
  </si>
  <si>
    <t>Teaching plan: https://www.overleaf.com/6246534572rhwckvrwdzgz#c494bd</t>
  </si>
  <si>
    <t>Colab TA</t>
  </si>
  <si>
    <t>Grants and revokes Colab licenses for all participants on time.</t>
  </si>
  <si>
    <t>Theory TAs are invited considering giving a 30 min presentation</t>
  </si>
  <si>
    <t>5th week</t>
  </si>
  <si>
    <t>App TAs draft concepts for Apps</t>
  </si>
  <si>
    <t>6th week</t>
  </si>
  <si>
    <t xml:space="preserve">Konstantnos </t>
  </si>
  <si>
    <t>Beacon TA</t>
  </si>
  <si>
    <t>Amine</t>
  </si>
  <si>
    <t>N/A</t>
  </si>
  <si>
    <t>7th week</t>
  </si>
  <si>
    <t>App TAs are invited to present the Apps</t>
  </si>
  <si>
    <t>Estimates number of TAs for all courses in the next semester. Organizes the application and selection process of TAs</t>
  </si>
  <si>
    <t>Weekend 4 (Apr 10/11)</t>
  </si>
  <si>
    <t>App 1: RAG w/ vector database</t>
  </si>
  <si>
    <t>Presenter: Deepfake generation and detection</t>
  </si>
  <si>
    <t>Moodle grading rubrics TA</t>
  </si>
  <si>
    <t>Ensures that grading rubrics are in place on time for every performance assessment of the course</t>
  </si>
  <si>
    <t>CX app presentation</t>
  </si>
  <si>
    <t>Christina?</t>
  </si>
  <si>
    <r>
      <rPr>
        <rFont val="Arial"/>
        <color theme="1"/>
        <sz val="11.0"/>
      </rPr>
      <t xml:space="preserve">See AINIT slides for RL here: </t>
    </r>
    <r>
      <rPr>
        <rFont val="Arial"/>
        <color rgb="FF1155CC"/>
        <sz val="11.0"/>
        <u/>
      </rPr>
      <t>https://github.com/eth-bmai-hs26/scratch</t>
    </r>
  </si>
  <si>
    <t>App: Mini-deepfake detection and generation tournament!</t>
  </si>
  <si>
    <t>Quiz TA</t>
  </si>
  <si>
    <t>Ensures that there is a quiz after every weekend of every module</t>
  </si>
  <si>
    <t>Winston?</t>
  </si>
  <si>
    <t>To discuss Jan 27th</t>
  </si>
  <si>
    <t>CX app 2 (Fashion Magazine)</t>
  </si>
  <si>
    <t>App 2: Agentic AI with heros (now tax app)</t>
  </si>
  <si>
    <t>Mailing list TA</t>
  </si>
  <si>
    <t>Foreword</t>
  </si>
  <si>
    <t>Moderates the module's mailing list</t>
  </si>
  <si>
    <t>Changes to the syllabus</t>
  </si>
  <si>
    <t>Warning about signing up to all weekends</t>
  </si>
  <si>
    <t>Claude Code TA</t>
  </si>
  <si>
    <t>Frederick</t>
  </si>
  <si>
    <t>(Syrmatenia)</t>
  </si>
  <si>
    <t>Manages the Claude Code licenses for participants and TAs</t>
  </si>
  <si>
    <t>Creation of gitlabs</t>
  </si>
  <si>
    <t>Allocation of TAs to groups</t>
  </si>
  <si>
    <t>Example-Homework-project teaching plan</t>
  </si>
  <si>
    <t>Github TA</t>
  </si>
  <si>
    <t>Classif/regression app</t>
  </si>
  <si>
    <t>Creates and administers the github org and github repo of the modules</t>
  </si>
  <si>
    <t xml:space="preserve">Jinlei </t>
  </si>
  <si>
    <t>The nature of coding exercises for CAS modules</t>
  </si>
  <si>
    <t>Suei-Wen</t>
  </si>
  <si>
    <t>Presentation of teaching plan weekend 1</t>
  </si>
  <si>
    <t>Presentation of teaching plan pytorch</t>
  </si>
  <si>
    <t>CX First-order optimization: 
Robbins-Monro scaffold for house-price prediction</t>
  </si>
  <si>
    <t>hs26-bmai-w1-opt-rm-house</t>
  </si>
  <si>
    <t>TA Staffing - Friday (08:00 - 12:00)</t>
  </si>
  <si>
    <r>
      <rPr>
        <rFont val="Arial"/>
        <color theme="1"/>
        <sz val="11.0"/>
      </rPr>
      <t xml:space="preserve">See BMAI slides on SLT here: </t>
    </r>
    <r>
      <rPr>
        <rFont val="Arial"/>
        <color rgb="FF1155CC"/>
        <sz val="11.0"/>
        <u/>
      </rPr>
      <t>https://github.com/eth-bmai-hs26/scratch</t>
    </r>
  </si>
  <si>
    <t>Fit a model y = wx + b on a fictitious toy dataset of 
house measurements {(x1,y1),(x2,y2),...(xn,yn)}</t>
  </si>
  <si>
    <t>CX Gradient descent: Grasshopper game</t>
  </si>
  <si>
    <t>Matina (remotely, if needed)</t>
  </si>
  <si>
    <t>https://eth-fdd-fs26.github.io/FDD-Page/grasshopper/index.html</t>
  </si>
  <si>
    <t>Weekend 4</t>
  </si>
  <si>
    <t>8th week</t>
  </si>
  <si>
    <t>TA Staffing - Friday (13:00 - 17:00)</t>
  </si>
  <si>
    <t>9th week</t>
  </si>
  <si>
    <t>10th week</t>
  </si>
  <si>
    <t>11th week</t>
  </si>
  <si>
    <t>Juan (+ coffee break)</t>
  </si>
  <si>
    <t>TA Staffing - Saturday (08:00 - 12:00)</t>
  </si>
  <si>
    <t>CX Gradient descent: 
Moonlander games as grasshopper games
Extending these games with the new ideas</t>
  </si>
  <si>
    <t>Winston (CX was moved to Saturday)</t>
  </si>
  <si>
    <r>
      <rPr/>
      <t xml:space="preserve">See handwritten notes and moonlander games here: </t>
    </r>
    <r>
      <rPr>
        <color rgb="FF1155CC"/>
        <u/>
      </rPr>
      <t>https://github.com/eth-bmai-hs26/scratch</t>
    </r>
  </si>
  <si>
    <t>CX Neural networks: 
Implementation of a forward pass
Visualizations of how NNs are universal approximators
Visualizations of how GD trains NNs</t>
  </si>
  <si>
    <t>See SML course website here: https://sml-fs26.github.io/neuralnetworks/</t>
  </si>
  <si>
    <t>Lunch break Friday</t>
  </si>
  <si>
    <t>Joel</t>
  </si>
  <si>
    <t xml:space="preserve">Matina </t>
  </si>
  <si>
    <t>12th week</t>
  </si>
  <si>
    <t>13th week</t>
  </si>
  <si>
    <t>14th week</t>
  </si>
  <si>
    <t>Course grand deadline - May 31st 23:59</t>
  </si>
  <si>
    <t>Coffee break Friday morning</t>
  </si>
  <si>
    <t>Chrstina</t>
  </si>
  <si>
    <t>deli</t>
  </si>
  <si>
    <r>
      <rPr>
        <rFont val="Arial"/>
        <color theme="1"/>
        <sz val="11.0"/>
      </rPr>
      <t xml:space="preserve">See here: </t>
    </r>
    <r>
      <rPr>
        <rFont val="Arial"/>
        <color rgb="FF1155CC"/>
        <sz val="11.0"/>
        <u/>
      </rPr>
      <t>https://github.com/eth-bmai-fs26/coding-exercises/blob/week1/cx_minimal_nn/notebooks/iris_nn.ipynb</t>
    </r>
  </si>
  <si>
    <t>Coffee break Friday afternoon</t>
  </si>
  <si>
    <r>
      <rPr>
        <rFont val="Arial"/>
        <color theme="1"/>
        <sz val="11.0"/>
      </rPr>
      <t xml:space="preserve">Also Mattia's notebook: </t>
    </r>
    <r>
      <rPr>
        <rFont val="Arial"/>
        <color rgb="FF1155CC"/>
        <sz val="11.0"/>
        <u/>
      </rPr>
      <t>https://github.com/eth-bmai-fs26/coding-exercises/tree/week1/cx3-intro-to-nns</t>
    </r>
  </si>
  <si>
    <t xml:space="preserve">Juan </t>
  </si>
  <si>
    <t>CX Overfitting, Validation &amp; Regularization
Detecting overfitting with a validation test set
Cross-validation with neural networks in Pytorch
Equipping loss functions with regularization</t>
  </si>
  <si>
    <t>Coffee break Saturday morning</t>
  </si>
  <si>
    <r>
      <rPr>
        <rFont val="Arial"/>
        <color theme="1"/>
        <sz val="11.0"/>
      </rPr>
      <t xml:space="preserve">I'll show an improved version of this in the lecture: </t>
    </r>
    <r>
      <rPr>
        <rFont val="Arial"/>
        <color rgb="FF1155CC"/>
        <sz val="11.0"/>
        <u/>
      </rPr>
      <t>https://sml-fs26.github.io/un-regression-validation/</t>
    </r>
  </si>
  <si>
    <t>Would be great if the coding exercises ask participants to implement sth in this direction</t>
  </si>
  <si>
    <t>CX Project: LLM Routing!</t>
  </si>
  <si>
    <t>Elisej</t>
  </si>
  <si>
    <t>What you must present</t>
  </si>
  <si>
    <t>Clustering</t>
  </si>
  <si>
    <t>Who wants to present the project to the participants?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</si>
</sst>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dd d mmm"/>
  </numFmts>
  <fonts count="4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i/>
      <sz val="11.0"/>
      <color theme="1"/>
      <name val="Arial"/>
    </font>
    <font>
      <color rgb="FF000000"/>
      <name val="Arial"/>
    </font>
    <font>
      <sz val="11.0"/>
      <color rgb="FF000000"/>
      <name val="Arial"/>
    </font>
    <font>
      <u/>
      <color theme="1"/>
      <name val="Arial"/>
      <scheme val="minor"/>
    </font>
    <font>
      <b/>
      <sz val="13.0"/>
      <color theme="1"/>
      <name val="Arial"/>
    </font>
    <font/>
    <font>
      <u/>
      <color theme="1"/>
      <name val="Arial"/>
      <scheme val="minor"/>
    </font>
    <font>
      <b/>
      <u/>
      <color theme="1"/>
      <name val="Arial"/>
    </font>
    <font>
      <b/>
      <color rgb="FF000000"/>
      <name val="Arial"/>
    </font>
    <font>
      <b/>
      <u/>
      <color rgb="FF0000FF"/>
      <name val="Arial"/>
    </font>
    <font>
      <b/>
      <sz val="11.0"/>
      <color rgb="FF000000"/>
      <name val="Arial"/>
    </font>
    <font>
      <u/>
      <color theme="1"/>
      <name val="Arial"/>
    </font>
    <font>
      <strike/>
      <color theme="1"/>
      <name val="Arial"/>
    </font>
    <font>
      <b/>
      <color rgb="FFFFFFFF"/>
      <name val="Arial"/>
    </font>
    <font>
      <b/>
      <u/>
      <sz val="11.0"/>
      <color rgb="FF0000FF"/>
      <name val="Arial"/>
    </font>
    <font>
      <b/>
      <u/>
      <sz val="11.0"/>
      <color rgb="FF000000"/>
      <name val="Arial"/>
    </font>
    <font>
      <u/>
      <color rgb="FFFFFFFF"/>
      <name val="Arial"/>
    </font>
    <font>
      <b/>
      <u/>
      <sz val="11.0"/>
      <color theme="1"/>
      <name val="Arial"/>
    </font>
    <font>
      <u/>
      <color rgb="FF0000FF"/>
    </font>
    <font>
      <u/>
      <sz val="11.0"/>
      <color theme="1"/>
      <name val="Arial"/>
    </font>
    <font>
      <strike/>
      <sz val="11.0"/>
      <color theme="1"/>
      <name val="Arial"/>
    </font>
    <font>
      <u/>
      <color rgb="FF0000FF"/>
    </font>
    <font>
      <b/>
      <sz val="11.0"/>
      <color rgb="FFFFFFFF"/>
      <name val="Arial"/>
    </font>
    <font>
      <u/>
      <sz val="11.0"/>
      <color rgb="FFFFFFFF"/>
      <name val="Arial"/>
    </font>
    <font>
      <u/>
      <sz val="11.0"/>
      <color rgb="FF0000FF"/>
      <name val="Cambria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sz val="11.0"/>
      <color theme="1"/>
      <name val="Arial"/>
    </font>
    <font>
      <u/>
      <sz val="11.0"/>
      <color rgb="FF000000"/>
      <name val="Arial"/>
    </font>
    <font>
      <color rgb="FFFFFFFF"/>
      <name val="Arial"/>
    </font>
    <font>
      <u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0"/>
    </xf>
    <xf quotePrefix="1" borderId="1" fillId="2" fontId="1" numFmtId="0" xfId="0" applyAlignment="1" applyBorder="1" applyFill="1" applyFon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2" numFmtId="0" xfId="0" applyAlignment="1" applyFont="1">
      <alignment readingOrder="0"/>
    </xf>
    <xf borderId="2" fillId="0" fontId="13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readingOrder="0" vertical="bottom"/>
    </xf>
    <xf borderId="3" fillId="0" fontId="14" numFmtId="0" xfId="0" applyBorder="1" applyFont="1"/>
    <xf borderId="0" fillId="0" fontId="6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readingOrder="0"/>
    </xf>
    <xf borderId="4" fillId="0" fontId="14" numFmtId="0" xfId="0" applyBorder="1" applyFont="1"/>
    <xf borderId="0" fillId="3" fontId="1" numFmtId="0" xfId="0" applyAlignment="1" applyFill="1" applyFont="1">
      <alignment readingOrder="0" vertical="bottom"/>
    </xf>
    <xf borderId="0" fillId="0" fontId="6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vertical="bottom"/>
    </xf>
    <xf borderId="5" fillId="0" fontId="14" numFmtId="0" xfId="0" applyBorder="1" applyFont="1"/>
    <xf borderId="6" fillId="0" fontId="14" numFmtId="0" xfId="0" applyBorder="1" applyFont="1"/>
    <xf borderId="0" fillId="4" fontId="1" numFmtId="0" xfId="0" applyAlignment="1" applyFill="1" applyFont="1">
      <alignment readingOrder="0" vertical="bottom"/>
    </xf>
    <xf borderId="7" fillId="0" fontId="14" numFmtId="0" xfId="0" applyBorder="1" applyFont="1"/>
    <xf borderId="0" fillId="0" fontId="11" numFmtId="0" xfId="0" applyAlignment="1" applyFont="1">
      <alignment readingOrder="0" shrinkToFit="0" vertical="bottom" wrapText="0"/>
    </xf>
    <xf borderId="8" fillId="0" fontId="14" numFmtId="0" xfId="0" applyBorder="1" applyFont="1"/>
    <xf borderId="0" fillId="0" fontId="15" numFmtId="0" xfId="0" applyAlignment="1" applyFont="1">
      <alignment readingOrder="0"/>
    </xf>
    <xf borderId="0" fillId="3" fontId="1" numFmtId="0" xfId="0" applyAlignment="1" applyFill="1" applyFont="1">
      <alignment readingOrder="0" shrinkToFit="0" vertical="bottom" wrapText="1"/>
    </xf>
    <xf borderId="9" fillId="3" fontId="6" numFmtId="0" xfId="0" applyAlignment="1" applyBorder="1" applyFill="1" applyFont="1">
      <alignment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1"/>
    </xf>
    <xf borderId="9" fillId="3" fontId="6" numFmtId="0" xfId="0" applyAlignment="1" applyBorder="1" applyFill="1" applyFont="1">
      <alignment readingOrder="0" shrinkToFit="0" vertical="bottom" wrapText="0"/>
    </xf>
    <xf borderId="0" fillId="0" fontId="16" numFmtId="0" xfId="0" applyAlignment="1" applyFont="1">
      <alignment readingOrder="0" vertical="bottom"/>
    </xf>
    <xf borderId="0" fillId="3" fontId="6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/>
    </xf>
    <xf borderId="9" fillId="4" fontId="6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9" fillId="3" fontId="6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0" numFmtId="0" xfId="0" applyAlignment="1" applyFill="1" applyFont="1">
      <alignment readingOrder="0" vertical="bottom"/>
    </xf>
    <xf borderId="0" fillId="3" fontId="17" numFmtId="0" xfId="0" applyAlignment="1" applyFill="1" applyFont="1">
      <alignment readingOrder="0" vertical="bottom"/>
    </xf>
    <xf borderId="0" fillId="3" fontId="4" numFmtId="0" xfId="0" applyAlignment="1" applyFill="1" applyFont="1">
      <alignment readingOrder="0"/>
    </xf>
    <xf borderId="9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9" fillId="5" fontId="6" numFmtId="0" xfId="0" applyAlignment="1" applyBorder="1" applyFill="1" applyFont="1">
      <alignment readingOrder="0" shrinkToFit="0" vertical="bottom" wrapText="0"/>
    </xf>
    <xf borderId="6" fillId="3" fontId="18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7" fillId="0" fontId="1" numFmtId="0" xfId="0" applyAlignment="1" applyBorder="1" applyFont="1">
      <alignment horizontal="center"/>
    </xf>
    <xf borderId="9" fillId="3" fontId="19" numFmtId="0" xfId="0" applyAlignment="1" applyBorder="1" applyFill="1" applyFont="1">
      <alignment shrinkToFit="0" vertical="bottom" wrapText="0"/>
    </xf>
    <xf borderId="9" fillId="3" fontId="3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 vertical="bottom"/>
    </xf>
    <xf borderId="2" fillId="2" fontId="1" numFmtId="0" xfId="0" applyAlignment="1" applyBorder="1" applyFill="1" applyFont="1">
      <alignment horizontal="center" vertical="center"/>
    </xf>
    <xf borderId="9" fillId="3" fontId="11" numFmtId="0" xfId="0" applyAlignment="1" applyBorder="1" applyFill="1" applyFont="1">
      <alignment shrinkToFit="0" vertical="bottom" wrapText="0"/>
    </xf>
    <xf borderId="10" fillId="0" fontId="1" numFmtId="0" xfId="0" applyAlignment="1" applyBorder="1" applyFont="1">
      <alignment horizontal="center" vertical="center"/>
    </xf>
    <xf borderId="11" fillId="0" fontId="14" numFmtId="0" xfId="0" applyBorder="1" applyFont="1"/>
    <xf borderId="9" fillId="3" fontId="11" numFmtId="0" xfId="0" applyAlignment="1" applyBorder="1" applyFill="1" applyFont="1">
      <alignment readingOrder="0" shrinkToFit="0" vertical="bottom" wrapText="0"/>
    </xf>
    <xf borderId="12" fillId="0" fontId="14" numFmtId="0" xfId="0" applyBorder="1" applyFont="1"/>
    <xf borderId="0" fillId="0" fontId="20" numFmtId="0" xfId="0" applyAlignment="1" applyFont="1">
      <alignment readingOrder="0" vertical="bottom"/>
    </xf>
    <xf borderId="1" fillId="7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21" numFmtId="0" xfId="0" applyAlignment="1" applyFont="1">
      <alignment readingOrder="0" vertical="bottom"/>
    </xf>
    <xf borderId="0" fillId="0" fontId="5" numFmtId="0" xfId="0" applyAlignment="1" applyFont="1">
      <alignment vertical="center"/>
    </xf>
    <xf borderId="13" fillId="2" fontId="1" numFmtId="165" xfId="0" applyAlignment="1" applyBorder="1" applyFill="1" applyFont="1" applyNumberFormat="1">
      <alignment horizontal="center" readingOrder="0" vertical="center"/>
    </xf>
    <xf borderId="14" fillId="2" fontId="1" numFmtId="165" xfId="0" applyAlignment="1" applyBorder="1" applyFill="1" applyFont="1" applyNumberFormat="1">
      <alignment horizontal="center" readingOrder="0" vertical="center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readingOrder="0" shrinkToFit="0" vertical="bottom" wrapText="0"/>
    </xf>
    <xf borderId="15" fillId="2" fontId="1" numFmtId="165" xfId="0" applyAlignment="1" applyBorder="1" applyFill="1" applyFont="1" applyNumberFormat="1">
      <alignment horizontal="center" readingOrder="0" vertical="center"/>
    </xf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vertical="bottom"/>
    </xf>
    <xf borderId="13" fillId="0" fontId="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bottom"/>
    </xf>
    <xf borderId="14" fillId="0" fontId="1" numFmtId="165" xfId="0" applyAlignment="1" applyBorder="1" applyFont="1" applyNumberFormat="1">
      <alignment horizontal="center" readingOrder="0" vertical="center"/>
    </xf>
    <xf borderId="15" fillId="0" fontId="1" numFmtId="165" xfId="0" applyAlignment="1" applyBorder="1" applyFont="1" applyNumberFormat="1">
      <alignment horizontal="center" readingOrder="0" vertical="center"/>
    </xf>
    <xf borderId="16" fillId="0" fontId="14" numFmtId="0" xfId="0" applyBorder="1" applyFont="1"/>
    <xf borderId="2" fillId="0" fontId="1" numFmtId="0" xfId="0" applyAlignment="1" applyBorder="1" applyFont="1">
      <alignment horizontal="center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readingOrder="0"/>
    </xf>
    <xf borderId="17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18" fillId="2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readingOrder="0" vertical="bottom"/>
    </xf>
    <xf borderId="19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shrinkToFit="0" vertical="bottom" wrapText="1"/>
    </xf>
    <xf borderId="17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vertical="center"/>
    </xf>
    <xf borderId="0" fillId="0" fontId="28" numFmtId="0" xfId="0" applyAlignment="1" applyFont="1">
      <alignment shrinkToFit="0" vertical="bottom" wrapText="0"/>
    </xf>
    <xf borderId="19" fillId="0" fontId="1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shrinkToFit="0" vertical="bottom" wrapText="0"/>
    </xf>
    <xf borderId="20" fillId="0" fontId="14" numFmtId="0" xfId="0" applyBorder="1" applyFont="1"/>
    <xf borderId="21" fillId="0" fontId="14" numFmtId="0" xfId="0" applyBorder="1" applyFont="1"/>
    <xf borderId="22" fillId="0" fontId="14" numFmtId="0" xfId="0" applyBorder="1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19" fillId="0" fontId="1" numFmtId="0" xfId="0" applyAlignment="1" applyBorder="1" applyFont="1">
      <alignment horizontal="center" readingOrder="0" vertical="center"/>
    </xf>
    <xf borderId="0" fillId="0" fontId="3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shrinkToFit="0" vertical="bottom" wrapText="1"/>
    </xf>
    <xf borderId="0" fillId="0" fontId="34" numFmtId="0" xfId="0" applyAlignment="1" applyFont="1">
      <alignment readingOrder="0" vertical="bottom"/>
    </xf>
    <xf borderId="1" fillId="7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0" fillId="0" fontId="35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wrapText="1"/>
    </xf>
    <xf borderId="0" fillId="3" fontId="5" numFmtId="0" xfId="0" applyFill="1" applyFont="1"/>
    <xf borderId="0" fillId="3" fontId="1" numFmtId="0" xfId="0" applyAlignment="1" applyFill="1" applyFont="1">
      <alignment readingOrder="0" shrinkToFit="0" vertical="bottom" wrapText="1"/>
    </xf>
    <xf borderId="1" fillId="0" fontId="1" numFmtId="0" xfId="0" applyAlignment="1" applyBorder="1" applyFont="1">
      <alignment horizontal="center"/>
    </xf>
    <xf borderId="0" fillId="3" fontId="5" numFmtId="0" xfId="0" applyAlignment="1" applyFill="1" applyFont="1">
      <alignment readingOrder="0" shrinkToFit="0" wrapText="1"/>
    </xf>
    <xf borderId="0" fillId="0" fontId="36" numFmtId="0" xfId="0" applyAlignment="1" applyFont="1">
      <alignment shrinkToFit="0" vertical="bottom" wrapText="0"/>
    </xf>
    <xf borderId="0" fillId="3" fontId="1" numFmtId="0" xfId="0" applyAlignment="1" applyFill="1" applyFont="1">
      <alignment shrinkToFit="0" vertical="bottom" wrapText="1"/>
    </xf>
    <xf borderId="0" fillId="0" fontId="21" numFmtId="0" xfId="0" applyAlignment="1" applyFont="1">
      <alignment vertical="bottom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readingOrder="0" shrinkToFit="0" vertical="center" wrapText="1"/>
    </xf>
    <xf borderId="13" fillId="10" fontId="1" numFmtId="165" xfId="0" applyAlignment="1" applyBorder="1" applyFill="1" applyFont="1" applyNumberFormat="1">
      <alignment horizontal="center" readingOrder="0" vertical="center"/>
    </xf>
    <xf borderId="0" fillId="0" fontId="5" numFmtId="0" xfId="0" applyFont="1"/>
    <xf borderId="0" fillId="0" fontId="37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17" fillId="10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3" fontId="5" numFmtId="0" xfId="0" applyAlignment="1" applyFill="1" applyFont="1">
      <alignment shrinkToFit="0" wrapText="1"/>
    </xf>
    <xf borderId="23" fillId="11" fontId="1" numFmtId="0" xfId="0" applyAlignment="1" applyBorder="1" applyFill="1" applyFont="1">
      <alignment readingOrder="0" vertical="bottom"/>
    </xf>
    <xf borderId="17" fillId="10" fontId="1" numFmtId="0" xfId="0" applyAlignment="1" applyBorder="1" applyFill="1" applyFont="1">
      <alignment horizontal="center" vertical="center"/>
    </xf>
    <xf borderId="23" fillId="0" fontId="1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38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23" fillId="11" fontId="6" numFmtId="0" xfId="0" applyAlignment="1" applyBorder="1" applyFill="1" applyFont="1">
      <alignment shrinkToFit="0" vertical="bottom" wrapText="0"/>
    </xf>
    <xf borderId="23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12" fontId="39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3" fillId="2" fontId="1" numFmtId="165" xfId="0" applyAlignment="1" applyBorder="1" applyFill="1" applyFont="1" applyNumberFormat="1">
      <alignment horizontal="center" readingOrder="0"/>
    </xf>
    <xf borderId="14" fillId="2" fontId="1" numFmtId="165" xfId="0" applyAlignment="1" applyBorder="1" applyFill="1" applyFont="1" applyNumberFormat="1">
      <alignment horizontal="center" readingOrder="0"/>
    </xf>
    <xf borderId="15" fillId="2" fontId="1" numFmtId="165" xfId="0" applyAlignment="1" applyBorder="1" applyFill="1" applyFont="1" applyNumberFormat="1">
      <alignment horizontal="center" readingOrder="0"/>
    </xf>
    <xf borderId="23" fillId="2" fontId="1" numFmtId="0" xfId="0" applyAlignment="1" applyBorder="1" applyFill="1" applyFont="1">
      <alignment vertical="bottom"/>
    </xf>
    <xf borderId="0" fillId="0" fontId="1" numFmtId="165" xfId="0" applyAlignment="1" applyFont="1" applyNumberFormat="1">
      <alignment horizontal="center" readingOrder="0"/>
    </xf>
    <xf borderId="19" fillId="0" fontId="1" numFmtId="0" xfId="0" applyAlignment="1" applyBorder="1" applyFont="1">
      <alignment horizontal="center" readingOrder="0" shrinkToFit="0" wrapText="1"/>
    </xf>
    <xf borderId="23" fillId="0" fontId="6" numFmtId="0" xfId="0" applyAlignment="1" applyBorder="1" applyFont="1">
      <alignment readingOrder="0" shrinkToFit="0" vertical="bottom" wrapText="0"/>
    </xf>
    <xf borderId="19" fillId="2" fontId="1" numFmtId="0" xfId="0" applyAlignment="1" applyBorder="1" applyFill="1" applyFont="1">
      <alignment horizontal="center" readingOrder="0"/>
    </xf>
    <xf borderId="23" fillId="0" fontId="6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wrapText="1"/>
    </xf>
    <xf borderId="17" fillId="2" fontId="1" numFmtId="0" xfId="0" applyAlignment="1" applyBorder="1" applyFill="1" applyFont="1">
      <alignment horizontal="center" readingOrder="0"/>
    </xf>
    <xf borderId="18" fillId="2" fontId="1" numFmtId="0" xfId="0" applyAlignment="1" applyBorder="1" applyFill="1" applyFont="1">
      <alignment horizontal="center" readingOrder="0"/>
    </xf>
    <xf borderId="23" fillId="13" fontId="1" numFmtId="0" xfId="0" applyAlignment="1" applyBorder="1" applyFill="1" applyFont="1">
      <alignment vertical="bottom"/>
    </xf>
    <xf borderId="17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17" fillId="2" fontId="1" numFmtId="0" xfId="0" applyAlignment="1" applyBorder="1" applyFill="1" applyFont="1">
      <alignment horizontal="center"/>
    </xf>
    <xf borderId="0" fillId="0" fontId="40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8" fillId="2" fontId="1" numFmtId="0" xfId="0" applyAlignment="1" applyBorder="1" applyFill="1" applyFont="1">
      <alignment horizontal="center"/>
    </xf>
    <xf borderId="19" fillId="2" fontId="1" numFmtId="0" xfId="0" applyAlignment="1" applyBorder="1" applyFill="1" applyFont="1">
      <alignment horizontal="center"/>
    </xf>
    <xf borderId="23" fillId="2" fontId="6" numFmtId="0" xfId="0" applyAlignment="1" applyBorder="1" applyFill="1" applyFont="1">
      <alignment shrinkToFit="0" vertical="bottom" wrapText="0"/>
    </xf>
    <xf borderId="23" fillId="13" fontId="6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o02FXgDo0afv7wGmA1moTlIQd7yS8AcxyZ7gypLUYG4/edit?usp=sharing" TargetMode="External"/><Relationship Id="rId10" Type="http://schemas.openxmlformats.org/officeDocument/2006/relationships/hyperlink" Target="https://github.com/eth-bmai-hs26/scratch" TargetMode="External"/><Relationship Id="rId13" Type="http://schemas.openxmlformats.org/officeDocument/2006/relationships/hyperlink" Target="https://eth-fdd-fs26.github.io/FDD-Page/grasshopper/index.html" TargetMode="External"/><Relationship Id="rId12" Type="http://schemas.openxmlformats.org/officeDocument/2006/relationships/hyperlink" Target="https://github.com/eth-bmai-hs26/scratch" TargetMode="External"/><Relationship Id="rId1" Type="http://schemas.openxmlformats.org/officeDocument/2006/relationships/hyperlink" Target="https://github.com/eth-bmai-hs26/scratchx" TargetMode="External"/><Relationship Id="rId2" Type="http://schemas.openxmlformats.org/officeDocument/2006/relationships/hyperlink" Target="https://docs.google.com/document/d/1TQWtVHIgAT1oAZYN8oEj1k6UW5EMun9NsPxu9pVm7c8/edit?usp=sharing" TargetMode="External"/><Relationship Id="rId3" Type="http://schemas.openxmlformats.org/officeDocument/2006/relationships/hyperlink" Target="https://docs.google.com/spreadsheets/d/1am6h1ZFg42ihpaJwkPJy9H85LkCg6vUM1VprgKqg7ZQ/edit?usp=sharing" TargetMode="External"/><Relationship Id="rId4" Type="http://schemas.openxmlformats.org/officeDocument/2006/relationships/hyperlink" Target="https://chatgpt.com/share/694d5a2e-dbf8-8010-bd2a-7875aa03c607" TargetMode="External"/><Relationship Id="rId9" Type="http://schemas.openxmlformats.org/officeDocument/2006/relationships/hyperlink" Target="https://www.overleaf.com/6246534572rhwckvrwdzgz" TargetMode="External"/><Relationship Id="rId15" Type="http://schemas.openxmlformats.org/officeDocument/2006/relationships/hyperlink" Target="https://sml-fs26.github.io/neuralnetworks/" TargetMode="External"/><Relationship Id="rId14" Type="http://schemas.openxmlformats.org/officeDocument/2006/relationships/hyperlink" Target="https://github.com/eth-bmai-hs26/scratch" TargetMode="External"/><Relationship Id="rId17" Type="http://schemas.openxmlformats.org/officeDocument/2006/relationships/hyperlink" Target="https://github.com/eth-bmai-fs26/coding-exercises/tree/week1/cx3-intro-to-nns" TargetMode="External"/><Relationship Id="rId16" Type="http://schemas.openxmlformats.org/officeDocument/2006/relationships/hyperlink" Target="https://github.com/eth-bmai-fs26/coding-exercises/blob/week1/cx_minimal_nn/notebooks/iris_nn.ipynb" TargetMode="External"/><Relationship Id="rId5" Type="http://schemas.openxmlformats.org/officeDocument/2006/relationships/hyperlink" Target="https://gitlab.ethz.ch/bmai/cx/2026f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outlook.office365.com/owa/calendar/043c973d6b13406f9a7639394ab985e6@student.ethz.ch/80bf8bc8a78b4185acea6135fd127c2816610583541802963693/calendar.ics" TargetMode="External"/><Relationship Id="rId18" Type="http://schemas.openxmlformats.org/officeDocument/2006/relationships/hyperlink" Target="https://sml-fs26.github.io/un-regression-validation/" TargetMode="External"/><Relationship Id="rId7" Type="http://schemas.openxmlformats.org/officeDocument/2006/relationships/hyperlink" Target="https://chatgpt.com/share/694d5a2e-dbf8-8010-bd2a-7875aa03c607" TargetMode="External"/><Relationship Id="rId8" Type="http://schemas.openxmlformats.org/officeDocument/2006/relationships/hyperlink" Target="https://gitlab.ethz.ch/bmai/cx/2026fs/-/tree/main?ref_type=heads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docs.google.com/document/d/1TQWtVHIgAT1oAZYN8oEj1k6UW5EMun9NsPxu9pVm7c8/edit?usp=sharing" TargetMode="External"/><Relationship Id="rId2" Type="http://schemas.openxmlformats.org/officeDocument/2006/relationships/hyperlink" Target="https://docs.google.com/spreadsheets/d/1am6h1ZFg42ihpaJwkPJy9H85LkCg6vUM1VprgKqg7ZQ/edit?usp=sharing" TargetMode="External"/><Relationship Id="rId3" Type="http://schemas.openxmlformats.org/officeDocument/2006/relationships/hyperlink" Target="https://chatgpt.com/share/694d5a2e-dbf8-8010-bd2a-7875aa03c607" TargetMode="External"/><Relationship Id="rId4" Type="http://schemas.openxmlformats.org/officeDocument/2006/relationships/hyperlink" Target="https://gitlab.ethz.ch/bmai/cx/2026fs" TargetMode="External"/><Relationship Id="rId9" Type="http://schemas.openxmlformats.org/officeDocument/2006/relationships/hyperlink" Target="https://docs.google.com/document/d/1o02FXgDo0afv7wGmA1moTlIQd7yS8AcxyZ7gypLUYG4/edit?usp=sharing" TargetMode="External"/><Relationship Id="rId5" Type="http://schemas.openxmlformats.org/officeDocument/2006/relationships/hyperlink" Target="https://outlook.office365.com/owa/calendar/043c973d6b13406f9a7639394ab985e6@student.ethz.ch/80bf8bc8a78b4185acea6135fd127c2816610583541802963693/calendar.ics" TargetMode="External"/><Relationship Id="rId6" Type="http://schemas.openxmlformats.org/officeDocument/2006/relationships/hyperlink" Target="https://chatgpt.com/share/694d5a2e-dbf8-8010-bd2a-7875aa03c607" TargetMode="External"/><Relationship Id="rId7" Type="http://schemas.openxmlformats.org/officeDocument/2006/relationships/hyperlink" Target="https://gitlab.ethz.ch/bmai/cx/2026fs/-/tree/main?ref_type=heads" TargetMode="External"/><Relationship Id="rId8" Type="http://schemas.openxmlformats.org/officeDocument/2006/relationships/hyperlink" Target="https://www.overleaf.com/6246534572rhwckvrwdzgz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doOh-Lo22K-K5hHkjtUobxV9wuwusltK_ilyZtPLDg/edit?gid=58274208" TargetMode="External"/><Relationship Id="rId2" Type="http://schemas.openxmlformats.org/officeDocument/2006/relationships/hyperlink" Target="https://docs.google.com/spreadsheets/d/1HFxjSEXrb1Sq_KhzSgnyAW2kZ492YlY_oREU-3xrnv0/edit?gid=58274208" TargetMode="External"/><Relationship Id="rId3" Type="http://schemas.openxmlformats.org/officeDocument/2006/relationships/hyperlink" Target="https://docs.google.com/spreadsheets/d/1a0ePZwSF1Dok5r6bqqqX50Zmuw5Y1oQY0JOC2H4jW1M/edit?gid=58274208" TargetMode="External"/><Relationship Id="rId4" Type="http://schemas.openxmlformats.org/officeDocument/2006/relationships/hyperlink" Target="https://docs.google.com/spreadsheets/d/1wm-GqUQqkl1CpEyMfu98BXzptYzymX98VZsNsM8ppS4/edit?gid=58274208" TargetMode="External"/><Relationship Id="rId5" Type="http://schemas.openxmlformats.org/officeDocument/2006/relationships/hyperlink" Target="https://docs.google.com/spreadsheets/d/1KNnWwBievmppzY5tAXMkuelUbdhzn5UE_Ukt9YmT5rk/edit?usp=sharing" TargetMode="External"/><Relationship Id="rId6" Type="http://schemas.openxmlformats.org/officeDocument/2006/relationships/hyperlink" Target="https://docs.google.com/spreadsheets/d/1bDVKObIOoAoQI3Y5LIs9PPd3P9WfJHso84XUT_fXgJI/edit?usp=sharin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thz.zoom.us/j/65235889876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5.25"/>
    <col customWidth="1" min="3" max="3" width="30.88"/>
    <col customWidth="1" min="4" max="4" width="30.13"/>
    <col customWidth="1" min="5" max="5" width="36.88"/>
    <col customWidth="1" min="6" max="7" width="31.38"/>
    <col customWidth="1" min="8" max="8" width="47.88"/>
  </cols>
  <sheetData>
    <row r="1">
      <c r="A1" s="3" t="s">
        <v>0</v>
      </c>
      <c r="B1" s="4" t="s">
        <v>5</v>
      </c>
      <c r="C1" s="4" t="s">
        <v>7</v>
      </c>
      <c r="D1" s="4" t="s">
        <v>9</v>
      </c>
      <c r="E1" s="4" t="s">
        <v>10</v>
      </c>
      <c r="F1" s="4" t="s">
        <v>11</v>
      </c>
      <c r="H1" s="8"/>
    </row>
    <row r="2">
      <c r="B2" s="8"/>
      <c r="C2" s="6"/>
      <c r="D2" s="11" t="s">
        <v>12</v>
      </c>
      <c r="E2" s="11" t="s">
        <v>12</v>
      </c>
      <c r="F2" s="11" t="s">
        <v>13</v>
      </c>
      <c r="H2" s="8"/>
    </row>
    <row r="3">
      <c r="A3" s="8" t="s">
        <v>16</v>
      </c>
      <c r="B3" s="14"/>
      <c r="C3" s="21" t="s">
        <v>18</v>
      </c>
      <c r="D3" s="8"/>
      <c r="E3" s="8"/>
      <c r="F3" s="8"/>
      <c r="H3" s="8"/>
    </row>
    <row r="4">
      <c r="A4" s="25">
        <v>0.333333333333333</v>
      </c>
      <c r="B4" s="14" t="s">
        <v>20</v>
      </c>
      <c r="C4" s="14"/>
      <c r="D4" s="21" t="s">
        <v>32</v>
      </c>
      <c r="E4" s="21" t="s">
        <v>33</v>
      </c>
      <c r="F4" s="8" t="s">
        <v>23</v>
      </c>
    </row>
    <row r="5">
      <c r="A5" s="25">
        <v>0.375</v>
      </c>
      <c r="B5" s="31" t="s">
        <v>35</v>
      </c>
      <c r="C5" s="31"/>
      <c r="D5" s="21" t="s">
        <v>36</v>
      </c>
      <c r="E5" s="35" t="s">
        <v>25</v>
      </c>
      <c r="F5" s="35" t="s">
        <v>27</v>
      </c>
    </row>
    <row r="6">
      <c r="A6" s="25">
        <v>0.416666666666667</v>
      </c>
      <c r="B6" s="38" t="s">
        <v>46</v>
      </c>
      <c r="C6" s="40" t="s">
        <v>50</v>
      </c>
      <c r="D6" s="21" t="s">
        <v>53</v>
      </c>
      <c r="E6" s="6" t="s">
        <v>33</v>
      </c>
      <c r="F6" s="8" t="s">
        <v>31</v>
      </c>
    </row>
    <row r="7">
      <c r="A7" s="25">
        <v>0.4375</v>
      </c>
      <c r="B7" s="42" t="s">
        <v>29</v>
      </c>
      <c r="C7" s="42"/>
      <c r="D7" s="42" t="s">
        <v>29</v>
      </c>
      <c r="E7" s="8" t="s">
        <v>29</v>
      </c>
      <c r="F7" s="8" t="s">
        <v>29</v>
      </c>
    </row>
    <row r="8">
      <c r="A8" s="25">
        <v>0.458333333333333</v>
      </c>
      <c r="B8" s="21" t="s">
        <v>63</v>
      </c>
      <c r="C8" s="21"/>
      <c r="D8" s="45" t="s">
        <v>68</v>
      </c>
      <c r="E8" s="21" t="s">
        <v>70</v>
      </c>
      <c r="F8" s="35" t="s">
        <v>40</v>
      </c>
    </row>
    <row r="9">
      <c r="A9" s="25">
        <v>0.5</v>
      </c>
      <c r="B9" s="46" t="s">
        <v>77</v>
      </c>
      <c r="C9" s="40" t="s">
        <v>79</v>
      </c>
      <c r="D9" s="46" t="s">
        <v>43</v>
      </c>
      <c r="E9" s="3" t="s">
        <v>43</v>
      </c>
      <c r="F9" s="3" t="s">
        <v>43</v>
      </c>
    </row>
    <row r="10">
      <c r="A10" s="25">
        <v>0.541666666666667</v>
      </c>
      <c r="B10" s="42" t="s">
        <v>44</v>
      </c>
      <c r="C10" s="42"/>
      <c r="D10" s="42" t="s">
        <v>44</v>
      </c>
      <c r="E10" s="42" t="s">
        <v>44</v>
      </c>
      <c r="F10" s="8" t="s">
        <v>44</v>
      </c>
      <c r="H10" s="8"/>
    </row>
    <row r="11">
      <c r="A11" s="25">
        <v>0.583333333333333</v>
      </c>
      <c r="B11" s="6" t="s">
        <v>84</v>
      </c>
      <c r="C11" s="6"/>
      <c r="D11" s="50" t="s">
        <v>86</v>
      </c>
      <c r="E11" s="51" t="s">
        <v>72</v>
      </c>
      <c r="F11" s="8" t="s">
        <v>51</v>
      </c>
      <c r="H11" s="3"/>
    </row>
    <row r="12">
      <c r="A12" s="52">
        <v>0.6041666666666666</v>
      </c>
      <c r="B12" s="38" t="s">
        <v>95</v>
      </c>
      <c r="C12" s="38" t="s">
        <v>96</v>
      </c>
      <c r="D12" s="53" t="s">
        <v>99</v>
      </c>
      <c r="E12" s="21" t="s">
        <v>101</v>
      </c>
      <c r="F12" s="8" t="s">
        <v>56</v>
      </c>
      <c r="H12" s="8"/>
    </row>
    <row r="13">
      <c r="A13" s="25">
        <v>0.645833333333333</v>
      </c>
      <c r="B13" s="42" t="s">
        <v>29</v>
      </c>
      <c r="C13" s="42"/>
      <c r="D13" s="42" t="s">
        <v>29</v>
      </c>
      <c r="E13" s="42" t="s">
        <v>29</v>
      </c>
      <c r="F13" s="8" t="s">
        <v>29</v>
      </c>
    </row>
    <row r="14">
      <c r="A14" s="25">
        <v>0.666666666666667</v>
      </c>
      <c r="B14" s="6" t="s">
        <v>106</v>
      </c>
      <c r="C14" s="6"/>
      <c r="D14" s="21" t="s">
        <v>62</v>
      </c>
      <c r="E14" s="21" t="s">
        <v>108</v>
      </c>
      <c r="F14" s="51" t="s">
        <v>108</v>
      </c>
      <c r="H14" s="8"/>
    </row>
    <row r="15">
      <c r="A15" s="8" t="s">
        <v>67</v>
      </c>
      <c r="B15" s="8"/>
      <c r="C15" s="8"/>
      <c r="E15" s="8"/>
      <c r="H15" s="8"/>
    </row>
    <row r="16">
      <c r="A16" s="25">
        <v>0.333333333333333</v>
      </c>
      <c r="B16" s="21" t="s">
        <v>110</v>
      </c>
      <c r="C16" s="21"/>
      <c r="D16" s="21" t="s">
        <v>62</v>
      </c>
      <c r="E16" s="6" t="s">
        <v>55</v>
      </c>
      <c r="F16" s="3" t="s">
        <v>75</v>
      </c>
      <c r="H16" s="8"/>
    </row>
    <row r="17">
      <c r="A17" s="25">
        <v>0.375</v>
      </c>
      <c r="B17" s="21" t="s">
        <v>111</v>
      </c>
      <c r="C17" s="38" t="s">
        <v>112</v>
      </c>
      <c r="D17" s="57" t="s">
        <v>81</v>
      </c>
      <c r="E17" s="6" t="s">
        <v>113</v>
      </c>
      <c r="F17" s="58" t="s">
        <v>83</v>
      </c>
      <c r="H17" s="8"/>
    </row>
    <row r="18">
      <c r="A18" s="25">
        <v>0.416666666666667</v>
      </c>
      <c r="B18" s="42" t="s">
        <v>87</v>
      </c>
      <c r="C18" s="42"/>
      <c r="D18" s="42" t="s">
        <v>87</v>
      </c>
      <c r="E18" s="42" t="s">
        <v>87</v>
      </c>
      <c r="F18" s="8" t="s">
        <v>87</v>
      </c>
      <c r="H18" s="8"/>
    </row>
    <row r="19">
      <c r="A19" s="25">
        <v>0.4375</v>
      </c>
      <c r="B19" s="51" t="s">
        <v>117</v>
      </c>
      <c r="C19" s="51"/>
      <c r="D19" s="62" t="s">
        <v>91</v>
      </c>
      <c r="E19" s="21" t="s">
        <v>119</v>
      </c>
      <c r="F19" s="8" t="s">
        <v>92</v>
      </c>
      <c r="H19" s="8"/>
    </row>
    <row r="20">
      <c r="A20" s="25">
        <v>0.458333333333333</v>
      </c>
      <c r="B20" s="31" t="s">
        <v>121</v>
      </c>
      <c r="C20" s="38" t="s">
        <v>122</v>
      </c>
      <c r="D20" s="62" t="s">
        <v>91</v>
      </c>
      <c r="E20" s="65" t="s">
        <v>123</v>
      </c>
      <c r="F20" s="8" t="s">
        <v>98</v>
      </c>
    </row>
    <row r="21">
      <c r="A21" s="25">
        <v>0.5</v>
      </c>
      <c r="B21" s="31" t="s">
        <v>124</v>
      </c>
      <c r="C21" s="38" t="s">
        <v>125</v>
      </c>
      <c r="D21" s="21" t="s">
        <v>127</v>
      </c>
      <c r="E21" s="21" t="s">
        <v>128</v>
      </c>
      <c r="F21" s="8" t="s">
        <v>98</v>
      </c>
    </row>
    <row r="22">
      <c r="A22" s="8"/>
      <c r="B22" s="8"/>
      <c r="C22" s="8"/>
      <c r="D22" s="8"/>
      <c r="E22" s="8"/>
      <c r="H22" s="8"/>
    </row>
    <row r="23">
      <c r="A23" s="8"/>
      <c r="B23" s="75" t="s">
        <v>130</v>
      </c>
      <c r="C23" s="77"/>
      <c r="D23" s="85" t="s">
        <v>105</v>
      </c>
      <c r="E23" s="85" t="s">
        <v>104</v>
      </c>
      <c r="H23" s="8"/>
    </row>
    <row r="24">
      <c r="A24" s="8"/>
      <c r="B24" s="8"/>
      <c r="C24" s="8"/>
      <c r="D24" s="8"/>
      <c r="E24" s="96" t="s">
        <v>118</v>
      </c>
      <c r="H24" s="8"/>
    </row>
    <row r="25">
      <c r="A25" s="8"/>
      <c r="B25" s="98"/>
      <c r="C25" s="98"/>
      <c r="D25" s="35" t="s">
        <v>132</v>
      </c>
      <c r="E25" s="8"/>
      <c r="F25" s="35" t="s">
        <v>133</v>
      </c>
      <c r="H25" s="8"/>
    </row>
    <row r="26">
      <c r="A26" s="8"/>
      <c r="B26" s="8"/>
      <c r="C26" s="8"/>
      <c r="D26" s="8"/>
      <c r="E26" s="8"/>
      <c r="F26" s="8"/>
      <c r="H26" s="8"/>
    </row>
    <row r="27">
      <c r="A27" s="8"/>
      <c r="B27" s="8"/>
      <c r="C27" s="8"/>
      <c r="D27" s="8"/>
      <c r="E27" s="8" t="s">
        <v>140</v>
      </c>
      <c r="F27" s="8"/>
      <c r="H27" s="8"/>
    </row>
    <row r="28">
      <c r="A28" s="8"/>
      <c r="D28" s="8"/>
      <c r="E28" s="103" t="s">
        <v>144</v>
      </c>
      <c r="F28" s="8"/>
      <c r="H28" s="8"/>
    </row>
    <row r="29">
      <c r="A29" s="8"/>
      <c r="B29" s="3"/>
      <c r="C29" s="3"/>
      <c r="D29" s="8"/>
      <c r="E29" s="104" t="s">
        <v>148</v>
      </c>
      <c r="F29" s="8"/>
      <c r="H29" s="8"/>
      <c r="I29" s="106" t="s">
        <v>151</v>
      </c>
    </row>
    <row r="30">
      <c r="A30" s="8"/>
      <c r="B30" s="107"/>
      <c r="C30" s="107"/>
      <c r="D30" s="8"/>
      <c r="E30" s="8"/>
      <c r="F30" s="8"/>
      <c r="H30" s="8"/>
    </row>
    <row r="31">
      <c r="A31" s="8"/>
      <c r="B31" s="107"/>
      <c r="C31" s="107"/>
      <c r="D31" s="35" t="s">
        <v>160</v>
      </c>
      <c r="E31" s="8"/>
      <c r="F31" s="35" t="s">
        <v>161</v>
      </c>
      <c r="H31" s="3"/>
    </row>
    <row r="32">
      <c r="A32" s="8"/>
      <c r="B32" s="107"/>
      <c r="C32" s="107"/>
      <c r="D32" s="8"/>
      <c r="E32" s="8"/>
      <c r="F32" s="8"/>
      <c r="H32" s="8"/>
    </row>
    <row r="33">
      <c r="A33" s="8"/>
      <c r="B33" s="109" t="s">
        <v>189</v>
      </c>
      <c r="C33" s="40" t="s">
        <v>190</v>
      </c>
      <c r="D33" s="8"/>
      <c r="E33" s="8" t="s">
        <v>165</v>
      </c>
      <c r="F33" s="8"/>
      <c r="H33" s="8"/>
    </row>
    <row r="34">
      <c r="A34" s="8"/>
      <c r="B34" s="109" t="s">
        <v>193</v>
      </c>
      <c r="C34" s="109"/>
      <c r="D34" s="8"/>
      <c r="E34" s="8"/>
      <c r="F34" s="8"/>
      <c r="H34" s="8"/>
      <c r="I34" s="106" t="s">
        <v>171</v>
      </c>
    </row>
    <row r="35">
      <c r="A35" s="8"/>
      <c r="B35" s="21" t="s">
        <v>181</v>
      </c>
      <c r="C35" s="21"/>
      <c r="D35" s="8"/>
      <c r="E35" s="8"/>
      <c r="F35" s="8"/>
      <c r="H35" s="8"/>
      <c r="I35" s="106" t="s">
        <v>198</v>
      </c>
    </row>
    <row r="36">
      <c r="A36" s="8"/>
      <c r="B36" s="109" t="s">
        <v>208</v>
      </c>
      <c r="C36" s="107"/>
      <c r="D36" s="8"/>
      <c r="E36" s="8"/>
      <c r="F36" s="8"/>
      <c r="H36" s="8"/>
    </row>
    <row r="37">
      <c r="A37" s="8"/>
      <c r="B37" s="107"/>
      <c r="C37" s="107"/>
      <c r="D37" s="8"/>
      <c r="E37" s="8"/>
      <c r="F37" s="8"/>
      <c r="H37" s="8"/>
      <c r="I37" s="8" t="s">
        <v>184</v>
      </c>
    </row>
    <row r="38">
      <c r="A38" s="8"/>
      <c r="D38" s="35" t="s">
        <v>62</v>
      </c>
      <c r="E38" s="8"/>
      <c r="F38" s="35" t="s">
        <v>185</v>
      </c>
      <c r="H38" s="8"/>
      <c r="I38" s="120" t="s">
        <v>188</v>
      </c>
    </row>
    <row r="39">
      <c r="A39" s="8"/>
      <c r="B39" s="107"/>
      <c r="C39" s="107"/>
      <c r="D39" s="21"/>
      <c r="E39" s="8"/>
      <c r="F39" s="8"/>
      <c r="I39" s="120" t="s">
        <v>195</v>
      </c>
    </row>
    <row r="40">
      <c r="A40" s="8"/>
      <c r="B40" s="109" t="s">
        <v>224</v>
      </c>
      <c r="C40" s="40" t="s">
        <v>225</v>
      </c>
      <c r="D40" s="8"/>
      <c r="F40" s="8"/>
      <c r="I40" s="120" t="s">
        <v>228</v>
      </c>
    </row>
    <row r="41">
      <c r="A41" s="8"/>
      <c r="B41" s="127" t="s">
        <v>249</v>
      </c>
      <c r="C41" s="128"/>
      <c r="D41" s="8"/>
      <c r="F41" s="8"/>
      <c r="H41" s="8"/>
      <c r="I41" s="96" t="s">
        <v>207</v>
      </c>
    </row>
    <row r="42">
      <c r="A42" s="8"/>
      <c r="B42" s="109" t="s">
        <v>272</v>
      </c>
      <c r="C42" s="109"/>
      <c r="D42" s="8"/>
      <c r="I42" s="8"/>
    </row>
    <row r="43">
      <c r="A43" s="8"/>
      <c r="B43" s="21" t="s">
        <v>274</v>
      </c>
      <c r="C43" s="21"/>
      <c r="D43" s="8"/>
      <c r="H43" s="8"/>
      <c r="I43" s="8" t="s">
        <v>214</v>
      </c>
    </row>
    <row r="44">
      <c r="A44" s="8"/>
      <c r="B44" s="8"/>
      <c r="C44" s="8"/>
      <c r="D44" s="98"/>
      <c r="H44" s="8"/>
      <c r="I44" s="8" t="s">
        <v>218</v>
      </c>
    </row>
    <row r="45">
      <c r="A45" s="8"/>
      <c r="D45" s="35" t="s">
        <v>131</v>
      </c>
      <c r="F45" s="35" t="s">
        <v>75</v>
      </c>
      <c r="H45" s="8"/>
    </row>
    <row r="46">
      <c r="A46" s="8"/>
      <c r="B46" s="109" t="s">
        <v>277</v>
      </c>
      <c r="C46" s="40" t="s">
        <v>278</v>
      </c>
      <c r="D46" s="8"/>
      <c r="E46" s="8" t="s">
        <v>223</v>
      </c>
      <c r="F46" s="8"/>
      <c r="H46" s="8"/>
    </row>
    <row r="47">
      <c r="A47" s="8"/>
      <c r="B47" s="127" t="s">
        <v>280</v>
      </c>
      <c r="C47" s="128"/>
      <c r="D47" s="8"/>
      <c r="E47" s="8"/>
      <c r="F47" s="8"/>
      <c r="H47" s="8"/>
    </row>
    <row r="48">
      <c r="A48" s="8"/>
      <c r="B48" s="21" t="s">
        <v>281</v>
      </c>
      <c r="C48" s="21"/>
      <c r="D48" s="8"/>
      <c r="E48" s="8"/>
      <c r="F48" s="8"/>
      <c r="H48" s="8"/>
    </row>
    <row r="49">
      <c r="A49" s="8"/>
      <c r="B49" s="21" t="s">
        <v>149</v>
      </c>
      <c r="C49" s="21"/>
      <c r="D49" s="8"/>
      <c r="E49" s="8"/>
      <c r="F49" s="8"/>
      <c r="H49" s="8"/>
    </row>
    <row r="50">
      <c r="A50" s="8"/>
      <c r="B50" s="21" t="s">
        <v>274</v>
      </c>
      <c r="C50" s="8"/>
      <c r="E50" s="8"/>
      <c r="F50" s="8"/>
    </row>
    <row r="51">
      <c r="A51" s="8"/>
      <c r="D51" s="35" t="s">
        <v>243</v>
      </c>
      <c r="E51" s="8"/>
      <c r="F51" s="35" t="s">
        <v>244</v>
      </c>
    </row>
    <row r="52">
      <c r="A52" s="8"/>
      <c r="D52" s="8"/>
    </row>
    <row r="53">
      <c r="A53" s="8"/>
      <c r="B53" s="21" t="s">
        <v>282</v>
      </c>
      <c r="C53" s="40" t="s">
        <v>79</v>
      </c>
      <c r="D53" s="8"/>
    </row>
    <row r="54">
      <c r="A54" s="8"/>
      <c r="B54" s="139" t="s">
        <v>284</v>
      </c>
      <c r="C54" s="139"/>
      <c r="D54" s="8"/>
      <c r="F54" s="35" t="s">
        <v>250</v>
      </c>
    </row>
    <row r="55">
      <c r="A55" s="8"/>
      <c r="B55" s="6" t="s">
        <v>145</v>
      </c>
      <c r="C55" s="6"/>
      <c r="D55" s="8"/>
      <c r="F55" s="8"/>
    </row>
    <row r="56">
      <c r="A56" s="8"/>
      <c r="B56" s="6" t="s">
        <v>274</v>
      </c>
      <c r="C56" s="6"/>
      <c r="F56" s="8"/>
      <c r="H56" s="8"/>
    </row>
    <row r="57">
      <c r="A57" s="8"/>
      <c r="B57" s="6" t="s">
        <v>208</v>
      </c>
      <c r="F57" s="8"/>
    </row>
    <row r="58">
      <c r="A58" s="8"/>
      <c r="D58" s="35" t="s">
        <v>256</v>
      </c>
      <c r="E58" s="8" t="s">
        <v>255</v>
      </c>
      <c r="F58" s="8"/>
      <c r="H58" s="8"/>
    </row>
    <row r="59">
      <c r="A59" s="8"/>
      <c r="B59" s="6" t="s">
        <v>293</v>
      </c>
      <c r="C59" s="40" t="s">
        <v>79</v>
      </c>
      <c r="D59" s="8"/>
      <c r="E59" s="8"/>
      <c r="F59" s="8"/>
      <c r="H59" s="8"/>
    </row>
    <row r="60">
      <c r="A60" s="8"/>
      <c r="B60" s="6"/>
      <c r="C60" s="6"/>
      <c r="D60" s="8"/>
      <c r="E60" s="8"/>
      <c r="H60" s="8"/>
    </row>
    <row r="61">
      <c r="A61" s="8"/>
      <c r="B61" s="86" t="s">
        <v>295</v>
      </c>
      <c r="C61" s="140"/>
      <c r="D61" s="8"/>
      <c r="E61" s="8"/>
      <c r="H61" s="8"/>
    </row>
    <row r="62">
      <c r="A62" s="8"/>
      <c r="B62" s="21" t="s">
        <v>169</v>
      </c>
      <c r="C62" s="21"/>
      <c r="D62" s="8"/>
      <c r="E62" s="8"/>
      <c r="H62" s="8"/>
    </row>
    <row r="63">
      <c r="A63" s="8"/>
      <c r="B63" s="21" t="s">
        <v>274</v>
      </c>
      <c r="C63" s="8"/>
      <c r="D63" s="8"/>
      <c r="E63" s="8"/>
      <c r="H63" s="8"/>
    </row>
    <row r="64">
      <c r="A64" s="8"/>
      <c r="B64" s="8"/>
      <c r="C64" s="8"/>
      <c r="D64" s="8"/>
      <c r="E64" s="8"/>
      <c r="H64" s="8"/>
    </row>
    <row r="65">
      <c r="A65" s="8"/>
      <c r="B65" s="8"/>
      <c r="C65" s="8"/>
      <c r="D65" s="8"/>
      <c r="E65" s="8"/>
      <c r="H65" s="8"/>
    </row>
    <row r="66">
      <c r="A66" s="8"/>
      <c r="B66" s="8"/>
      <c r="C66" s="8"/>
      <c r="D66" s="8"/>
      <c r="E66" s="8"/>
      <c r="H66" s="8"/>
    </row>
    <row r="67">
      <c r="A67" s="8"/>
      <c r="B67" s="21" t="s">
        <v>296</v>
      </c>
      <c r="C67" s="38" t="s">
        <v>96</v>
      </c>
      <c r="D67" s="8"/>
      <c r="E67" s="8"/>
      <c r="H67" s="8"/>
    </row>
    <row r="68">
      <c r="A68" s="8"/>
      <c r="B68" s="21"/>
      <c r="C68" s="21"/>
      <c r="D68" s="8"/>
      <c r="E68" s="8"/>
    </row>
    <row r="69">
      <c r="A69" s="8"/>
      <c r="B69" s="21"/>
      <c r="C69" s="21"/>
      <c r="E69" s="8"/>
      <c r="F69" s="8"/>
    </row>
    <row r="70">
      <c r="A70" s="8"/>
      <c r="B70" s="139" t="s">
        <v>297</v>
      </c>
      <c r="C70" s="139"/>
      <c r="E70" s="8"/>
      <c r="F70" s="8"/>
    </row>
    <row r="71">
      <c r="A71" s="8"/>
      <c r="B71" s="21" t="s">
        <v>299</v>
      </c>
      <c r="C71" s="21"/>
      <c r="E71" s="141" t="s">
        <v>279</v>
      </c>
      <c r="F71" s="141" t="s">
        <v>279</v>
      </c>
      <c r="G71" s="141" t="s">
        <v>279</v>
      </c>
    </row>
    <row r="72">
      <c r="A72" s="8"/>
      <c r="B72" s="6" t="s">
        <v>274</v>
      </c>
      <c r="E72" s="154" t="s">
        <v>145</v>
      </c>
      <c r="F72" s="156"/>
      <c r="G72" s="156"/>
    </row>
    <row r="73">
      <c r="A73" s="8"/>
      <c r="B73" s="21" t="s">
        <v>179</v>
      </c>
      <c r="C73" s="8"/>
      <c r="E73" s="156"/>
      <c r="F73" s="156"/>
      <c r="G73" s="156"/>
    </row>
    <row r="74">
      <c r="A74" s="8"/>
      <c r="B74" s="8"/>
      <c r="C74" s="8"/>
      <c r="E74" s="156"/>
      <c r="F74" s="156"/>
      <c r="G74" s="156"/>
    </row>
    <row r="75">
      <c r="A75" s="8"/>
      <c r="B75" s="21" t="s">
        <v>111</v>
      </c>
      <c r="C75" s="38" t="s">
        <v>112</v>
      </c>
      <c r="E75" s="156"/>
      <c r="F75" s="156"/>
      <c r="G75" s="156"/>
    </row>
    <row r="76">
      <c r="A76" s="8"/>
      <c r="B76" s="165" t="s">
        <v>308</v>
      </c>
      <c r="C76" s="166"/>
      <c r="E76" s="156"/>
      <c r="F76" s="156"/>
      <c r="G76" s="156"/>
    </row>
    <row r="77">
      <c r="A77" s="8"/>
      <c r="B77" s="165" t="s">
        <v>310</v>
      </c>
      <c r="C77" s="166"/>
      <c r="E77" s="8"/>
      <c r="F77" s="8"/>
      <c r="G77" s="8"/>
    </row>
    <row r="78">
      <c r="A78" s="8"/>
      <c r="B78" s="21" t="s">
        <v>145</v>
      </c>
      <c r="C78" s="8"/>
      <c r="E78" s="8"/>
    </row>
    <row r="79">
      <c r="A79" s="8"/>
      <c r="B79" s="6" t="s">
        <v>181</v>
      </c>
      <c r="F79" s="8"/>
    </row>
    <row r="80">
      <c r="A80" s="8"/>
      <c r="B80" s="21" t="s">
        <v>179</v>
      </c>
      <c r="C80" s="8"/>
      <c r="E80" s="141" t="s">
        <v>287</v>
      </c>
      <c r="F80" s="141" t="s">
        <v>287</v>
      </c>
      <c r="G80" s="141" t="s">
        <v>287</v>
      </c>
    </row>
    <row r="81">
      <c r="A81" s="8"/>
      <c r="B81" s="8"/>
      <c r="C81" s="8"/>
      <c r="E81" s="154" t="s">
        <v>145</v>
      </c>
      <c r="F81" s="156"/>
      <c r="G81" s="156"/>
    </row>
    <row r="82">
      <c r="A82" s="8"/>
      <c r="B82" s="21" t="s">
        <v>312</v>
      </c>
      <c r="C82" s="38" t="s">
        <v>122</v>
      </c>
      <c r="E82" s="156"/>
      <c r="F82" s="156"/>
      <c r="G82" s="156"/>
    </row>
    <row r="83">
      <c r="A83" s="8"/>
      <c r="B83" s="21"/>
      <c r="C83" s="21"/>
      <c r="E83" s="156"/>
      <c r="F83" s="156"/>
      <c r="G83" s="156"/>
    </row>
    <row r="84">
      <c r="A84" s="8"/>
      <c r="B84" s="21"/>
      <c r="C84" s="21"/>
      <c r="E84" s="156"/>
      <c r="F84" s="156"/>
      <c r="G84" s="156"/>
    </row>
    <row r="85">
      <c r="A85" s="8"/>
      <c r="B85" s="165" t="s">
        <v>314</v>
      </c>
      <c r="C85" s="166"/>
      <c r="E85" s="156"/>
      <c r="F85" s="156"/>
      <c r="G85" s="156"/>
    </row>
    <row r="86">
      <c r="A86" s="8"/>
      <c r="B86" s="21" t="s">
        <v>315</v>
      </c>
      <c r="C86" s="21"/>
      <c r="F86" s="8"/>
      <c r="G86" s="8"/>
    </row>
    <row r="87">
      <c r="A87" s="8"/>
      <c r="B87" s="6" t="s">
        <v>169</v>
      </c>
      <c r="C87" s="6"/>
      <c r="F87" s="8"/>
    </row>
    <row r="88">
      <c r="A88" s="8"/>
      <c r="B88" s="6" t="s">
        <v>208</v>
      </c>
      <c r="F88" s="8"/>
    </row>
    <row r="89">
      <c r="A89" s="8"/>
      <c r="B89" s="6" t="s">
        <v>149</v>
      </c>
    </row>
    <row r="90">
      <c r="A90" s="8"/>
    </row>
    <row r="91">
      <c r="A91" s="8"/>
      <c r="B91" s="8"/>
      <c r="C91" s="8"/>
    </row>
    <row r="92">
      <c r="A92" s="8"/>
      <c r="B92" s="21" t="s">
        <v>316</v>
      </c>
      <c r="C92" s="38" t="s">
        <v>125</v>
      </c>
      <c r="E92" s="141" t="s">
        <v>292</v>
      </c>
      <c r="F92" s="141" t="s">
        <v>292</v>
      </c>
      <c r="G92" s="141" t="s">
        <v>292</v>
      </c>
    </row>
    <row r="93">
      <c r="A93" s="8"/>
      <c r="B93" s="4"/>
      <c r="C93" s="21"/>
      <c r="E93" s="154" t="s">
        <v>145</v>
      </c>
      <c r="F93" s="156"/>
      <c r="G93" s="156"/>
    </row>
    <row r="94">
      <c r="A94" s="8"/>
      <c r="B94" s="21" t="s">
        <v>145</v>
      </c>
      <c r="C94" s="21"/>
      <c r="E94" s="156"/>
      <c r="F94" s="156"/>
      <c r="G94" s="156"/>
    </row>
    <row r="95">
      <c r="A95" s="8"/>
      <c r="B95" s="21" t="s">
        <v>274</v>
      </c>
      <c r="C95" s="21"/>
      <c r="E95" s="156"/>
      <c r="F95" s="156"/>
      <c r="G95" s="156"/>
    </row>
    <row r="96">
      <c r="A96" s="8"/>
      <c r="B96" s="21" t="s">
        <v>317</v>
      </c>
      <c r="C96" s="21"/>
      <c r="E96" s="156"/>
      <c r="F96" s="156"/>
      <c r="G96" s="156"/>
    </row>
    <row r="97">
      <c r="A97" s="8"/>
      <c r="B97" s="21" t="s">
        <v>299</v>
      </c>
      <c r="C97" s="8"/>
      <c r="E97" s="156"/>
      <c r="F97" s="156"/>
      <c r="G97" s="156"/>
    </row>
    <row r="98">
      <c r="A98" s="8"/>
      <c r="B98" s="21" t="s">
        <v>208</v>
      </c>
      <c r="C98" s="8"/>
      <c r="F98" s="8"/>
    </row>
    <row r="99">
      <c r="A99" s="8"/>
      <c r="B99" s="8"/>
      <c r="C99" s="8"/>
    </row>
    <row r="100">
      <c r="A100" s="8"/>
      <c r="B100" s="4" t="s">
        <v>320</v>
      </c>
      <c r="C100" s="8"/>
      <c r="E100" s="156" t="s">
        <v>298</v>
      </c>
      <c r="F100" s="156" t="s">
        <v>298</v>
      </c>
      <c r="G100" s="156" t="s">
        <v>298</v>
      </c>
    </row>
    <row r="101">
      <c r="A101" s="8"/>
      <c r="B101" s="8"/>
      <c r="C101" s="8"/>
      <c r="E101" s="154" t="s">
        <v>145</v>
      </c>
      <c r="F101" s="156"/>
      <c r="G101" s="156"/>
    </row>
    <row r="102">
      <c r="A102" s="8"/>
      <c r="B102" s="8"/>
      <c r="C102" s="8"/>
      <c r="E102" s="156"/>
      <c r="F102" s="156"/>
      <c r="G102" s="156"/>
    </row>
    <row r="103">
      <c r="A103" s="8"/>
      <c r="B103" s="8"/>
      <c r="C103" s="8"/>
      <c r="E103" s="156"/>
      <c r="F103" s="156"/>
      <c r="G103" s="156"/>
    </row>
    <row r="104">
      <c r="A104" s="8"/>
      <c r="B104" s="8"/>
      <c r="C104" s="8"/>
      <c r="E104" s="156"/>
      <c r="F104" s="156"/>
      <c r="G104" s="156"/>
    </row>
    <row r="105">
      <c r="A105" s="8"/>
      <c r="B105" s="8"/>
      <c r="C105" s="8"/>
      <c r="E105" s="156"/>
      <c r="F105" s="156"/>
      <c r="G105" s="156"/>
    </row>
    <row r="106">
      <c r="A106" s="8"/>
      <c r="B106" s="8"/>
      <c r="C106" s="8"/>
      <c r="E106" s="156"/>
      <c r="F106" s="156"/>
      <c r="G106" s="156"/>
    </row>
    <row r="107">
      <c r="A107" s="8"/>
      <c r="B107" s="8"/>
      <c r="C107" s="8"/>
      <c r="E107" s="156"/>
      <c r="F107" s="156"/>
      <c r="G107" s="156"/>
    </row>
    <row r="108">
      <c r="A108" s="8"/>
      <c r="B108" s="8"/>
      <c r="C108" s="8"/>
      <c r="E108" s="156"/>
      <c r="F108" s="156"/>
      <c r="G108" s="156"/>
    </row>
    <row r="109">
      <c r="A109" s="8"/>
      <c r="B109" s="8"/>
      <c r="C109" s="8"/>
      <c r="E109" s="156"/>
      <c r="F109" s="156"/>
      <c r="G109" s="156"/>
    </row>
    <row r="110">
      <c r="A110" s="8"/>
      <c r="B110" s="8"/>
      <c r="C110" s="8"/>
      <c r="E110" s="156"/>
      <c r="F110" s="156"/>
      <c r="G110" s="156"/>
    </row>
    <row r="111">
      <c r="A111" s="8"/>
      <c r="B111" s="8"/>
      <c r="C111" s="8"/>
      <c r="E111" s="156"/>
      <c r="F111" s="156"/>
      <c r="G111" s="156"/>
    </row>
    <row r="112">
      <c r="A112" s="8"/>
      <c r="B112" s="8"/>
      <c r="C112" s="8"/>
      <c r="E112" s="156"/>
      <c r="F112" s="156"/>
      <c r="G112" s="156"/>
    </row>
    <row r="113">
      <c r="A113" s="8"/>
      <c r="B113" s="8"/>
      <c r="C113" s="8"/>
      <c r="E113" s="169">
        <f t="shared" ref="E113:G113" si="1">COUNTA(E101:E112)</f>
        <v>1</v>
      </c>
      <c r="F113" s="169">
        <f t="shared" si="1"/>
        <v>0</v>
      </c>
      <c r="G113" s="169">
        <f t="shared" si="1"/>
        <v>0</v>
      </c>
    </row>
    <row r="114">
      <c r="A114" s="8"/>
      <c r="B114" s="8"/>
      <c r="C114" s="8"/>
      <c r="E114" s="8"/>
      <c r="F114" s="8"/>
      <c r="G114" s="8"/>
    </row>
    <row r="115">
      <c r="A115" s="8"/>
      <c r="B115" s="8"/>
      <c r="C115" s="8"/>
      <c r="E115" s="156" t="s">
        <v>305</v>
      </c>
      <c r="F115" s="156" t="s">
        <v>305</v>
      </c>
      <c r="G115" s="156" t="s">
        <v>305</v>
      </c>
    </row>
    <row r="116">
      <c r="A116" s="8"/>
      <c r="B116" s="8"/>
      <c r="C116" s="8"/>
      <c r="E116" s="154" t="s">
        <v>145</v>
      </c>
      <c r="F116" s="156"/>
      <c r="G116" s="156"/>
    </row>
    <row r="117">
      <c r="A117" s="8"/>
      <c r="B117" s="8"/>
      <c r="C117" s="8"/>
      <c r="E117" s="156"/>
      <c r="F117" s="156"/>
      <c r="G117" s="156"/>
    </row>
    <row r="118">
      <c r="A118" s="8"/>
      <c r="B118" s="8"/>
      <c r="C118" s="8"/>
      <c r="E118" s="156"/>
      <c r="F118" s="156"/>
      <c r="G118" s="8"/>
    </row>
    <row r="119">
      <c r="A119" s="8"/>
      <c r="B119" s="8"/>
      <c r="C119" s="8"/>
      <c r="E119" s="156"/>
      <c r="F119" s="156"/>
      <c r="G119" s="156"/>
    </row>
    <row r="120">
      <c r="A120" s="8"/>
      <c r="B120" s="8"/>
      <c r="C120" s="8"/>
      <c r="E120" s="156"/>
      <c r="F120" s="156"/>
      <c r="G120" s="156"/>
    </row>
    <row r="121">
      <c r="A121" s="8"/>
      <c r="B121" s="8"/>
      <c r="C121" s="8"/>
      <c r="E121" s="156"/>
      <c r="F121" s="156"/>
      <c r="G121" s="156"/>
    </row>
    <row r="122">
      <c r="A122" s="8"/>
      <c r="B122" s="8"/>
      <c r="C122" s="8"/>
      <c r="E122" s="156"/>
      <c r="F122" s="156"/>
      <c r="G122" s="156"/>
    </row>
    <row r="123">
      <c r="A123" s="8"/>
      <c r="B123" s="8"/>
      <c r="C123" s="8"/>
      <c r="E123" s="156"/>
      <c r="F123" s="156"/>
      <c r="G123" s="156"/>
    </row>
    <row r="124">
      <c r="A124" s="8"/>
      <c r="B124" s="8"/>
      <c r="C124" s="8"/>
      <c r="E124" s="156"/>
      <c r="F124" s="156"/>
      <c r="G124" s="156"/>
    </row>
    <row r="125">
      <c r="A125" s="8"/>
      <c r="B125" s="8"/>
      <c r="C125" s="8"/>
      <c r="E125" s="156"/>
      <c r="F125" s="156"/>
      <c r="G125" s="156"/>
    </row>
    <row r="126">
      <c r="A126" s="8"/>
      <c r="B126" s="8"/>
      <c r="C126" s="8"/>
      <c r="E126" s="156"/>
      <c r="F126" s="156"/>
      <c r="G126" s="156"/>
    </row>
    <row r="127">
      <c r="A127" s="8"/>
      <c r="B127" s="8"/>
      <c r="C127" s="8"/>
      <c r="E127" s="156"/>
      <c r="F127" s="156"/>
      <c r="G127" s="156"/>
    </row>
    <row r="128">
      <c r="A128" s="8"/>
      <c r="B128" s="8"/>
      <c r="C128" s="8"/>
      <c r="E128" s="156"/>
      <c r="F128" s="156"/>
      <c r="G128" s="156"/>
    </row>
    <row r="129">
      <c r="A129" s="8"/>
      <c r="B129" s="8"/>
      <c r="C129" s="8"/>
      <c r="E129" s="170">
        <f t="shared" ref="E129:G129" si="2">COUNTA(E116:E128)</f>
        <v>1</v>
      </c>
      <c r="F129" s="170">
        <f t="shared" si="2"/>
        <v>0</v>
      </c>
      <c r="G129" s="170">
        <f t="shared" si="2"/>
        <v>0</v>
      </c>
    </row>
    <row r="130">
      <c r="A130" s="8"/>
      <c r="B130" s="8"/>
      <c r="C130" s="8"/>
      <c r="E130" s="8"/>
      <c r="F130" s="8"/>
      <c r="G130" s="8"/>
    </row>
    <row r="131">
      <c r="A131" s="8"/>
      <c r="B131" s="8"/>
      <c r="C131" s="8"/>
      <c r="E131" s="156" t="s">
        <v>309</v>
      </c>
      <c r="F131" s="156" t="s">
        <v>309</v>
      </c>
      <c r="G131" s="156" t="s">
        <v>309</v>
      </c>
    </row>
    <row r="132">
      <c r="A132" s="8"/>
      <c r="B132" s="8"/>
      <c r="C132" s="8"/>
      <c r="E132" s="154" t="s">
        <v>145</v>
      </c>
      <c r="F132" s="156"/>
      <c r="G132" s="156"/>
    </row>
    <row r="133">
      <c r="A133" s="8"/>
      <c r="B133" s="8"/>
      <c r="C133" s="8"/>
      <c r="E133" s="156"/>
      <c r="F133" s="156"/>
      <c r="G133" s="156"/>
    </row>
    <row r="134">
      <c r="A134" s="8"/>
      <c r="B134" s="8"/>
      <c r="C134" s="8"/>
      <c r="E134" s="156"/>
      <c r="F134" s="156"/>
      <c r="G134" s="8"/>
    </row>
    <row r="135">
      <c r="A135" s="8"/>
      <c r="B135" s="8"/>
      <c r="C135" s="8"/>
      <c r="E135" s="156"/>
      <c r="F135" s="156"/>
      <c r="G135" s="156"/>
    </row>
    <row r="136">
      <c r="A136" s="8"/>
      <c r="B136" s="8"/>
      <c r="C136" s="8"/>
      <c r="E136" s="156"/>
      <c r="F136" s="156"/>
      <c r="G136" s="156"/>
    </row>
    <row r="137">
      <c r="A137" s="8"/>
      <c r="B137" s="8"/>
      <c r="C137" s="8"/>
      <c r="E137" s="156"/>
      <c r="F137" s="156"/>
      <c r="G137" s="156"/>
    </row>
    <row r="138">
      <c r="A138" s="8"/>
      <c r="B138" s="8"/>
      <c r="C138" s="8"/>
      <c r="E138" s="156"/>
      <c r="F138" s="156"/>
      <c r="G138" s="156"/>
    </row>
    <row r="139">
      <c r="A139" s="8"/>
      <c r="B139" s="8"/>
      <c r="C139" s="8"/>
      <c r="E139" s="156"/>
      <c r="F139" s="156"/>
      <c r="G139" s="156"/>
    </row>
    <row r="140">
      <c r="A140" s="8"/>
      <c r="B140" s="8"/>
      <c r="C140" s="8"/>
      <c r="E140" s="156"/>
      <c r="F140" s="156"/>
      <c r="G140" s="156"/>
    </row>
    <row r="141">
      <c r="A141" s="8"/>
      <c r="B141" s="8"/>
      <c r="C141" s="8"/>
      <c r="E141" s="156"/>
      <c r="F141" s="156"/>
      <c r="G141" s="156"/>
    </row>
    <row r="142">
      <c r="A142" s="8"/>
      <c r="B142" s="8"/>
      <c r="C142" s="8"/>
      <c r="E142" s="156"/>
      <c r="F142" s="156"/>
      <c r="G142" s="156"/>
    </row>
    <row r="143">
      <c r="A143" s="8"/>
      <c r="B143" s="8"/>
      <c r="C143" s="8"/>
      <c r="E143" s="156"/>
      <c r="F143" s="156"/>
      <c r="G143" s="156"/>
    </row>
    <row r="144">
      <c r="A144" s="8"/>
      <c r="B144" s="8"/>
      <c r="C144" s="8"/>
      <c r="E144" s="156"/>
      <c r="F144" s="156"/>
      <c r="G144" s="156"/>
    </row>
    <row r="145">
      <c r="A145" s="8"/>
      <c r="B145" s="8"/>
      <c r="C145" s="8"/>
      <c r="E145" s="170">
        <f t="shared" ref="E145:G145" si="3">COUNTA(E132:E144)</f>
        <v>1</v>
      </c>
      <c r="F145" s="170">
        <f t="shared" si="3"/>
        <v>0</v>
      </c>
      <c r="G145" s="170">
        <f t="shared" si="3"/>
        <v>0</v>
      </c>
    </row>
    <row r="146">
      <c r="A146" s="8"/>
      <c r="B146" s="8"/>
      <c r="C146" s="8"/>
    </row>
    <row r="147">
      <c r="A147" s="8"/>
      <c r="B147" s="8"/>
      <c r="C147" s="8"/>
      <c r="E147" s="156" t="s">
        <v>313</v>
      </c>
      <c r="F147" s="156" t="s">
        <v>313</v>
      </c>
      <c r="G147" s="156" t="s">
        <v>313</v>
      </c>
    </row>
    <row r="148">
      <c r="A148" s="8"/>
      <c r="B148" s="8"/>
      <c r="C148" s="8"/>
      <c r="E148" s="154" t="s">
        <v>145</v>
      </c>
      <c r="F148" s="156"/>
      <c r="G148" s="8"/>
    </row>
    <row r="149">
      <c r="A149" s="8"/>
      <c r="B149" s="8"/>
      <c r="C149" s="8"/>
      <c r="E149" s="156"/>
      <c r="F149" s="156"/>
      <c r="G149" s="156"/>
    </row>
    <row r="150">
      <c r="A150" s="8"/>
      <c r="B150" s="8"/>
      <c r="C150" s="8"/>
      <c r="E150" s="156"/>
      <c r="F150" s="156"/>
      <c r="G150" s="156"/>
    </row>
    <row r="151">
      <c r="A151" s="8"/>
      <c r="B151" s="8"/>
      <c r="C151" s="8"/>
      <c r="E151" s="156"/>
      <c r="F151" s="156"/>
      <c r="G151" s="156"/>
    </row>
    <row r="152">
      <c r="A152" s="8"/>
      <c r="B152" s="8"/>
      <c r="C152" s="8"/>
      <c r="E152" s="156"/>
      <c r="F152" s="156"/>
      <c r="G152" s="156"/>
    </row>
    <row r="153">
      <c r="A153" s="8"/>
      <c r="B153" s="8"/>
      <c r="C153" s="8"/>
      <c r="E153" s="156"/>
      <c r="F153" s="156"/>
      <c r="G153" s="156"/>
    </row>
    <row r="154">
      <c r="A154" s="8"/>
      <c r="B154" s="8"/>
      <c r="C154" s="8"/>
      <c r="E154" s="156"/>
      <c r="F154" s="156"/>
      <c r="G154" s="156"/>
    </row>
    <row r="155">
      <c r="A155" s="8"/>
      <c r="B155" s="8"/>
      <c r="C155" s="8"/>
      <c r="E155" s="156"/>
      <c r="F155" s="156"/>
      <c r="G155" s="156"/>
    </row>
    <row r="156">
      <c r="A156" s="8"/>
      <c r="B156" s="8"/>
      <c r="C156" s="8"/>
      <c r="E156" s="156"/>
      <c r="F156" s="156"/>
      <c r="G156" s="156"/>
    </row>
    <row r="157">
      <c r="A157" s="8"/>
      <c r="B157" s="8"/>
      <c r="C157" s="8"/>
      <c r="E157" s="156"/>
      <c r="F157" s="156"/>
      <c r="G157" s="156"/>
    </row>
    <row r="158">
      <c r="A158" s="8"/>
      <c r="B158" s="8"/>
      <c r="C158" s="8"/>
      <c r="E158" s="156"/>
      <c r="F158" s="156"/>
      <c r="G158" s="156"/>
    </row>
    <row r="159">
      <c r="A159" s="8"/>
      <c r="B159" s="8"/>
      <c r="C159" s="8"/>
      <c r="E159" s="156"/>
      <c r="F159" s="156"/>
      <c r="G159" s="156"/>
    </row>
    <row r="160">
      <c r="A160" s="8"/>
      <c r="B160" s="8"/>
      <c r="C160" s="8"/>
      <c r="E160" s="156"/>
      <c r="F160" s="156"/>
      <c r="G160" s="156"/>
    </row>
    <row r="161">
      <c r="A161" s="8"/>
      <c r="B161" s="8"/>
      <c r="C161" s="8"/>
      <c r="E161" s="170">
        <f t="shared" ref="E161:G161" si="4">COUNTA(E148:E160)</f>
        <v>1</v>
      </c>
      <c r="F161" s="170">
        <f t="shared" si="4"/>
        <v>0</v>
      </c>
      <c r="G161" s="170">
        <f t="shared" si="4"/>
        <v>0</v>
      </c>
    </row>
    <row r="162">
      <c r="A162" s="8"/>
      <c r="B162" s="8"/>
      <c r="C162" s="8"/>
      <c r="F162" s="8"/>
    </row>
    <row r="163">
      <c r="A163" s="8"/>
      <c r="B163" s="8"/>
      <c r="C163" s="8"/>
      <c r="F163" s="8"/>
    </row>
    <row r="164">
      <c r="A164" s="8"/>
      <c r="B164" s="8"/>
      <c r="C164" s="8"/>
      <c r="F164" s="8"/>
    </row>
    <row r="165">
      <c r="A165" s="8"/>
      <c r="B165" s="8"/>
      <c r="C165" s="8"/>
      <c r="F165" s="8"/>
    </row>
    <row r="166">
      <c r="A166" s="8"/>
      <c r="B166" s="8"/>
      <c r="C166" s="8"/>
      <c r="F166" s="8"/>
    </row>
    <row r="167">
      <c r="A167" s="8"/>
      <c r="B167" s="8"/>
      <c r="C167" s="8"/>
      <c r="F167" s="8"/>
    </row>
    <row r="168">
      <c r="A168" s="8"/>
      <c r="B168" s="8"/>
      <c r="C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1:E1000 F1:F54 G1:G1000 H1:I1 H7:I1000 F67:F1000">
    <cfRule type="beginsWith" dxfId="0" priority="1" operator="beginsWith" text="CX">
      <formula>LEFT((A1),LEN("CX"))=("CX")</formula>
    </cfRule>
  </conditionalFormatting>
  <conditionalFormatting sqref="A1:E1000 F1:F54 G1:G1000 H1:I1 H7:I1000 F67:F1000">
    <cfRule type="beginsWith" dxfId="1" priority="2" operator="beginsWith" text="Guest">
      <formula>LEFT((A1),LEN("Guest"))=("Guest")</formula>
    </cfRule>
  </conditionalFormatting>
  <conditionalFormatting sqref="A1:E1000 F1:F54 G1:G1000 H1:I1 H7:I1000 F67:F1000">
    <cfRule type="beginsWith" dxfId="2" priority="3" operator="beginsWith" text="Lunch">
      <formula>LEFT((A1),LEN("Lunch"))=("Lunch")</formula>
    </cfRule>
  </conditionalFormatting>
  <conditionalFormatting sqref="A1:E1000 F1:F54 G1:G1000 H1:I1 H7:I1000 F67:F1000">
    <cfRule type="beginsWith" dxfId="2" priority="4" operator="beginsWith" text="Coffee">
      <formula>LEFT((A1),LEN("Coffee"))=("Coffee")</formula>
    </cfRule>
  </conditionalFormatting>
  <hyperlinks>
    <hyperlink r:id="rId1" ref="B23"/>
    <hyperlink r:id="rId2" ref="D23"/>
    <hyperlink r:id="rId3" ref="E24"/>
    <hyperlink r:id="rId4" ref="I29"/>
    <hyperlink r:id="rId5" ref="I34"/>
    <hyperlink r:id="rId6" ref="I35"/>
    <hyperlink r:id="rId7" ref="I38"/>
    <hyperlink r:id="rId8" ref="I39"/>
    <hyperlink r:id="rId9" location="c494bd" ref="I40"/>
    <hyperlink r:id="rId10" ref="B41"/>
    <hyperlink r:id="rId11" ref="I41"/>
    <hyperlink r:id="rId12" ref="B47"/>
    <hyperlink r:id="rId13" ref="B54"/>
    <hyperlink r:id="rId14" ref="B61"/>
    <hyperlink r:id="rId15" ref="B70"/>
    <hyperlink r:id="rId16" ref="B76"/>
    <hyperlink r:id="rId17" ref="B77"/>
    <hyperlink r:id="rId18" ref="B85"/>
  </hyperlinks>
  <printOptions/>
  <pageMargins bottom="1.0" footer="0.0" header="0.0" left="0.75" right="0.75" top="1.0"/>
  <pageSetup paperSize="9" orientation="portrait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6.75"/>
    <col customWidth="1" min="3" max="3" width="30.13"/>
    <col customWidth="1" min="4" max="4" width="36.88"/>
    <col customWidth="1" min="5" max="5" width="31.38"/>
    <col customWidth="1" min="7" max="7" width="47.88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5" t="s">
        <v>6</v>
      </c>
      <c r="G1" s="6" t="s">
        <v>8</v>
      </c>
    </row>
    <row r="2">
      <c r="B2" s="1"/>
      <c r="C2" s="9" t="s">
        <v>12</v>
      </c>
      <c r="D2" s="9" t="s">
        <v>12</v>
      </c>
      <c r="E2" s="10" t="s">
        <v>13</v>
      </c>
      <c r="G2" s="6" t="s">
        <v>15</v>
      </c>
    </row>
    <row r="3">
      <c r="A3" s="1" t="s">
        <v>16</v>
      </c>
      <c r="B3" s="12"/>
      <c r="C3" s="13"/>
      <c r="D3" s="13"/>
      <c r="E3" s="6"/>
      <c r="G3" s="6" t="s">
        <v>17</v>
      </c>
    </row>
    <row r="4">
      <c r="A4" s="16">
        <v>0.3333333333333333</v>
      </c>
      <c r="B4" s="12" t="s">
        <v>20</v>
      </c>
      <c r="C4" s="2" t="s">
        <v>21</v>
      </c>
      <c r="D4" s="2" t="s">
        <v>22</v>
      </c>
      <c r="E4" s="6" t="s">
        <v>23</v>
      </c>
    </row>
    <row r="5">
      <c r="A5" s="16">
        <v>0.375</v>
      </c>
      <c r="B5" s="12" t="s">
        <v>24</v>
      </c>
      <c r="C5" s="19" t="s">
        <v>25</v>
      </c>
      <c r="D5" s="2" t="s">
        <v>22</v>
      </c>
      <c r="E5" s="22" t="s">
        <v>27</v>
      </c>
    </row>
    <row r="6">
      <c r="A6" s="16">
        <v>0.4166666666666667</v>
      </c>
      <c r="B6" s="24" t="s">
        <v>28</v>
      </c>
      <c r="C6" s="13" t="s">
        <v>29</v>
      </c>
      <c r="D6" s="26" t="s">
        <v>30</v>
      </c>
      <c r="E6" s="6" t="s">
        <v>31</v>
      </c>
    </row>
    <row r="7">
      <c r="A7" s="16">
        <v>0.4375</v>
      </c>
      <c r="B7" s="29" t="s">
        <v>29</v>
      </c>
      <c r="C7" s="13" t="s">
        <v>34</v>
      </c>
      <c r="D7" s="29" t="s">
        <v>29</v>
      </c>
      <c r="E7" s="6" t="s">
        <v>29</v>
      </c>
    </row>
    <row r="8">
      <c r="A8" s="16">
        <v>0.4583333333333333</v>
      </c>
      <c r="B8" s="13" t="s">
        <v>37</v>
      </c>
      <c r="C8" s="6" t="s">
        <v>32</v>
      </c>
      <c r="D8" s="34" t="s">
        <v>39</v>
      </c>
      <c r="E8" s="22" t="s">
        <v>40</v>
      </c>
    </row>
    <row r="9">
      <c r="A9" s="16">
        <v>0.5</v>
      </c>
      <c r="B9" s="13" t="s">
        <v>42</v>
      </c>
      <c r="C9" s="5" t="s">
        <v>43</v>
      </c>
      <c r="D9" s="37" t="s">
        <v>43</v>
      </c>
      <c r="E9" s="5" t="s">
        <v>43</v>
      </c>
    </row>
    <row r="10">
      <c r="A10" s="16">
        <v>0.5416666666666666</v>
      </c>
      <c r="B10" s="29" t="s">
        <v>44</v>
      </c>
      <c r="C10" s="29" t="s">
        <v>44</v>
      </c>
      <c r="D10" s="29" t="s">
        <v>44</v>
      </c>
      <c r="E10" s="6" t="s">
        <v>44</v>
      </c>
      <c r="G10" s="6" t="s">
        <v>45</v>
      </c>
    </row>
    <row r="11">
      <c r="A11" s="16">
        <v>0.5833333333333334</v>
      </c>
      <c r="B11" s="24" t="s">
        <v>47</v>
      </c>
      <c r="C11" s="22" t="s">
        <v>49</v>
      </c>
      <c r="D11" s="39"/>
      <c r="E11" s="6" t="s">
        <v>51</v>
      </c>
      <c r="G11" s="5" t="s">
        <v>52</v>
      </c>
    </row>
    <row r="12">
      <c r="A12" s="16">
        <v>0.625</v>
      </c>
      <c r="B12" s="6" t="s">
        <v>54</v>
      </c>
      <c r="C12" s="6" t="s">
        <v>55</v>
      </c>
      <c r="D12" s="39"/>
      <c r="E12" s="6" t="s">
        <v>56</v>
      </c>
      <c r="G12" s="6" t="s">
        <v>58</v>
      </c>
    </row>
    <row r="13">
      <c r="A13" s="16">
        <v>0.6458333333333334</v>
      </c>
      <c r="B13" s="29" t="s">
        <v>29</v>
      </c>
      <c r="C13" s="29" t="s">
        <v>29</v>
      </c>
      <c r="D13" s="29" t="s">
        <v>29</v>
      </c>
      <c r="E13" s="6" t="s">
        <v>29</v>
      </c>
    </row>
    <row r="14">
      <c r="A14" s="16">
        <v>0.6666666666666666</v>
      </c>
      <c r="B14" s="24" t="s">
        <v>60</v>
      </c>
      <c r="C14" s="6" t="s">
        <v>61</v>
      </c>
      <c r="D14" s="13" t="s">
        <v>62</v>
      </c>
      <c r="E14" s="22" t="s">
        <v>64</v>
      </c>
      <c r="G14" s="6" t="s">
        <v>65</v>
      </c>
    </row>
    <row r="15">
      <c r="A15" s="1" t="s">
        <v>67</v>
      </c>
      <c r="B15" s="1"/>
      <c r="C15" s="1"/>
      <c r="G15" s="6" t="s">
        <v>69</v>
      </c>
    </row>
    <row r="16">
      <c r="A16" s="16">
        <v>0.3333333333333333</v>
      </c>
      <c r="B16" s="13" t="s">
        <v>71</v>
      </c>
      <c r="C16" s="5" t="s">
        <v>72</v>
      </c>
      <c r="D16" s="13" t="s">
        <v>73</v>
      </c>
      <c r="E16" s="5" t="s">
        <v>75</v>
      </c>
      <c r="G16" s="6" t="s">
        <v>76</v>
      </c>
    </row>
    <row r="17">
      <c r="A17" s="16">
        <v>0.375</v>
      </c>
      <c r="B17" s="13" t="s">
        <v>78</v>
      </c>
      <c r="C17" s="47" t="s">
        <v>80</v>
      </c>
      <c r="D17" s="48" t="s">
        <v>81</v>
      </c>
      <c r="E17" s="49" t="s">
        <v>83</v>
      </c>
      <c r="G17" s="6" t="s">
        <v>85</v>
      </c>
    </row>
    <row r="18">
      <c r="A18" s="16">
        <v>0.4166666666666667</v>
      </c>
      <c r="B18" s="29" t="s">
        <v>87</v>
      </c>
      <c r="C18" s="29" t="s">
        <v>87</v>
      </c>
      <c r="D18" s="29" t="s">
        <v>87</v>
      </c>
      <c r="E18" s="13" t="s">
        <v>87</v>
      </c>
      <c r="G18" s="6" t="s">
        <v>88</v>
      </c>
    </row>
    <row r="19">
      <c r="A19" s="16">
        <v>0.4375</v>
      </c>
      <c r="B19" s="24" t="s">
        <v>89</v>
      </c>
      <c r="C19" s="6" t="s">
        <v>90</v>
      </c>
      <c r="D19" s="47" t="s">
        <v>91</v>
      </c>
      <c r="E19" s="6" t="s">
        <v>92</v>
      </c>
      <c r="G19" s="6" t="s">
        <v>93</v>
      </c>
    </row>
    <row r="20">
      <c r="A20" s="16">
        <v>0.4583333333333333</v>
      </c>
      <c r="B20" s="12" t="s">
        <v>94</v>
      </c>
      <c r="C20" s="6" t="s">
        <v>90</v>
      </c>
      <c r="D20" s="47" t="s">
        <v>91</v>
      </c>
      <c r="E20" s="6" t="s">
        <v>97</v>
      </c>
    </row>
    <row r="21">
      <c r="A21" s="16">
        <v>0.5</v>
      </c>
      <c r="B21" s="12" t="s">
        <v>98</v>
      </c>
      <c r="C21" s="6" t="s">
        <v>90</v>
      </c>
      <c r="D21" s="2" t="s">
        <v>100</v>
      </c>
      <c r="E21" s="6" t="s">
        <v>98</v>
      </c>
    </row>
    <row r="22">
      <c r="A22" s="1"/>
      <c r="B22" s="1"/>
      <c r="C22" s="1"/>
      <c r="D22" s="1"/>
      <c r="G22" s="6" t="s">
        <v>102</v>
      </c>
    </row>
    <row r="23">
      <c r="A23" s="1"/>
      <c r="B23" s="2" t="s">
        <v>103</v>
      </c>
      <c r="C23" s="39" t="s">
        <v>104</v>
      </c>
      <c r="D23" s="60" t="s">
        <v>105</v>
      </c>
      <c r="G23" s="6" t="s">
        <v>116</v>
      </c>
    </row>
    <row r="24">
      <c r="A24" s="1"/>
      <c r="B24" s="13" t="s">
        <v>71</v>
      </c>
      <c r="C24" s="67" t="s">
        <v>118</v>
      </c>
      <c r="D24" s="1"/>
      <c r="G24" s="6" t="s">
        <v>129</v>
      </c>
    </row>
    <row r="25">
      <c r="A25" s="1"/>
      <c r="B25" s="70" t="s">
        <v>131</v>
      </c>
      <c r="C25" s="1"/>
      <c r="D25" s="24" t="s">
        <v>132</v>
      </c>
      <c r="E25" s="22" t="s">
        <v>133</v>
      </c>
      <c r="G25" s="6" t="s">
        <v>134</v>
      </c>
    </row>
    <row r="26">
      <c r="A26" s="1"/>
      <c r="B26" s="13" t="s">
        <v>135</v>
      </c>
      <c r="C26" s="1"/>
      <c r="D26" s="13" t="s">
        <v>136</v>
      </c>
      <c r="E26" s="6" t="s">
        <v>137</v>
      </c>
      <c r="G26" s="6" t="s">
        <v>138</v>
      </c>
    </row>
    <row r="27">
      <c r="A27" s="1"/>
      <c r="B27" s="6" t="s">
        <v>139</v>
      </c>
      <c r="C27" s="13" t="s">
        <v>140</v>
      </c>
      <c r="D27" s="13" t="s">
        <v>141</v>
      </c>
      <c r="E27" s="6" t="s">
        <v>142</v>
      </c>
      <c r="G27" s="6" t="s">
        <v>143</v>
      </c>
    </row>
    <row r="28">
      <c r="A28" s="1"/>
      <c r="C28" s="74" t="s">
        <v>144</v>
      </c>
      <c r="D28" s="13" t="s">
        <v>145</v>
      </c>
      <c r="E28" s="6" t="s">
        <v>141</v>
      </c>
      <c r="G28" s="6" t="s">
        <v>146</v>
      </c>
    </row>
    <row r="29">
      <c r="A29" s="1"/>
      <c r="B29" s="2" t="s">
        <v>147</v>
      </c>
      <c r="C29" s="78" t="s">
        <v>148</v>
      </c>
      <c r="D29" s="80"/>
      <c r="E29" s="6" t="s">
        <v>149</v>
      </c>
      <c r="G29" s="6" t="s">
        <v>150</v>
      </c>
      <c r="H29" s="86" t="s">
        <v>151</v>
      </c>
    </row>
    <row r="30">
      <c r="A30" s="1"/>
      <c r="B30" s="88" t="s">
        <v>154</v>
      </c>
      <c r="C30" s="1"/>
      <c r="D30" s="89" t="s">
        <v>155</v>
      </c>
      <c r="E30" s="6" t="s">
        <v>156</v>
      </c>
      <c r="G30" s="6" t="s">
        <v>157</v>
      </c>
    </row>
    <row r="31">
      <c r="A31" s="1"/>
      <c r="B31" s="88" t="s">
        <v>158</v>
      </c>
      <c r="C31" s="1"/>
      <c r="D31" s="91" t="s">
        <v>160</v>
      </c>
      <c r="E31" s="22" t="s">
        <v>161</v>
      </c>
      <c r="G31" s="5" t="s">
        <v>162</v>
      </c>
    </row>
    <row r="32">
      <c r="A32" s="1"/>
      <c r="B32" s="93"/>
      <c r="C32" s="1"/>
      <c r="D32" s="6" t="s">
        <v>137</v>
      </c>
      <c r="E32" s="6" t="s">
        <v>163</v>
      </c>
      <c r="G32" s="6" t="s">
        <v>164</v>
      </c>
    </row>
    <row r="33">
      <c r="A33" s="1"/>
      <c r="B33" s="88" t="s">
        <v>165</v>
      </c>
      <c r="C33" s="13" t="s">
        <v>165</v>
      </c>
      <c r="D33" s="13" t="s">
        <v>159</v>
      </c>
      <c r="E33" s="6" t="s">
        <v>166</v>
      </c>
      <c r="G33" s="6" t="s">
        <v>167</v>
      </c>
    </row>
    <row r="34">
      <c r="A34" s="1"/>
      <c r="B34" s="88" t="s">
        <v>136</v>
      </c>
      <c r="C34" s="13" t="s">
        <v>168</v>
      </c>
      <c r="D34" s="13" t="s">
        <v>169</v>
      </c>
      <c r="E34" s="6" t="s">
        <v>145</v>
      </c>
      <c r="G34" s="6" t="s">
        <v>170</v>
      </c>
      <c r="H34" s="102" t="s">
        <v>171</v>
      </c>
    </row>
    <row r="35">
      <c r="A35" s="1"/>
      <c r="B35" s="6" t="s">
        <v>173</v>
      </c>
      <c r="C35" s="13" t="s">
        <v>159</v>
      </c>
      <c r="D35" s="13" t="s">
        <v>163</v>
      </c>
      <c r="E35" s="6" t="s">
        <v>155</v>
      </c>
      <c r="G35" s="6" t="s">
        <v>174</v>
      </c>
      <c r="H35" s="102" t="s">
        <v>175</v>
      </c>
    </row>
    <row r="36">
      <c r="A36" s="1"/>
      <c r="B36" s="88" t="s">
        <v>179</v>
      </c>
      <c r="C36" s="13" t="s">
        <v>180</v>
      </c>
      <c r="D36" s="13" t="s">
        <v>180</v>
      </c>
      <c r="E36" s="6" t="s">
        <v>181</v>
      </c>
      <c r="G36" s="6" t="s">
        <v>182</v>
      </c>
    </row>
    <row r="37">
      <c r="A37" s="1"/>
      <c r="B37" s="88" t="s">
        <v>180</v>
      </c>
      <c r="C37" s="13" t="s">
        <v>179</v>
      </c>
      <c r="D37" s="1"/>
      <c r="E37" s="6" t="s">
        <v>169</v>
      </c>
      <c r="G37" s="6" t="s">
        <v>183</v>
      </c>
      <c r="H37" s="13" t="s">
        <v>184</v>
      </c>
    </row>
    <row r="38">
      <c r="A38" s="1"/>
      <c r="C38" s="13" t="s">
        <v>176</v>
      </c>
      <c r="D38" s="24" t="s">
        <v>62</v>
      </c>
      <c r="E38" s="22" t="s">
        <v>185</v>
      </c>
      <c r="G38" s="6" t="s">
        <v>186</v>
      </c>
      <c r="H38" s="110" t="s">
        <v>188</v>
      </c>
    </row>
    <row r="39">
      <c r="A39" s="1"/>
      <c r="B39" s="93"/>
      <c r="C39" s="13" t="s">
        <v>155</v>
      </c>
      <c r="D39" s="13" t="s">
        <v>192</v>
      </c>
      <c r="E39" s="6" t="s">
        <v>194</v>
      </c>
      <c r="H39" s="114" t="s">
        <v>195</v>
      </c>
    </row>
    <row r="40">
      <c r="A40" s="1"/>
      <c r="B40" s="88" t="s">
        <v>199</v>
      </c>
      <c r="D40" s="13" t="s">
        <v>177</v>
      </c>
      <c r="E40" s="6" t="s">
        <v>136</v>
      </c>
      <c r="H40" s="110" t="s">
        <v>201</v>
      </c>
    </row>
    <row r="41">
      <c r="A41" s="13"/>
      <c r="B41" s="88" t="s">
        <v>163</v>
      </c>
      <c r="D41" s="13" t="s">
        <v>181</v>
      </c>
      <c r="E41" s="6" t="s">
        <v>205</v>
      </c>
      <c r="G41" s="6" t="s">
        <v>206</v>
      </c>
      <c r="H41" s="17" t="s">
        <v>207</v>
      </c>
    </row>
    <row r="42">
      <c r="A42" s="13"/>
      <c r="B42" s="88" t="s">
        <v>145</v>
      </c>
      <c r="D42" s="13" t="s">
        <v>149</v>
      </c>
      <c r="H42" s="1"/>
    </row>
    <row r="43">
      <c r="A43" s="13"/>
      <c r="B43" s="13" t="s">
        <v>136</v>
      </c>
      <c r="D43" s="1"/>
      <c r="G43" s="6" t="s">
        <v>213</v>
      </c>
      <c r="H43" s="13" t="s">
        <v>214</v>
      </c>
    </row>
    <row r="44">
      <c r="A44" s="13"/>
      <c r="B44" s="13" t="s">
        <v>159</v>
      </c>
      <c r="D44" s="122"/>
      <c r="G44" s="6" t="s">
        <v>216</v>
      </c>
      <c r="H44" s="13" t="s">
        <v>218</v>
      </c>
    </row>
    <row r="45">
      <c r="A45" s="13"/>
      <c r="D45" s="24" t="s">
        <v>131</v>
      </c>
      <c r="E45" s="22" t="s">
        <v>75</v>
      </c>
      <c r="G45" s="6" t="s">
        <v>221</v>
      </c>
    </row>
    <row r="46">
      <c r="A46" s="13"/>
      <c r="B46" s="13" t="s">
        <v>222</v>
      </c>
      <c r="C46" s="13" t="s">
        <v>223</v>
      </c>
      <c r="D46" s="13" t="s">
        <v>205</v>
      </c>
      <c r="E46" s="6" t="s">
        <v>159</v>
      </c>
      <c r="G46" s="6" t="s">
        <v>226</v>
      </c>
    </row>
    <row r="47">
      <c r="A47" s="13"/>
      <c r="B47" s="93" t="s">
        <v>205</v>
      </c>
      <c r="C47" s="6" t="s">
        <v>166</v>
      </c>
      <c r="D47" s="13" t="s">
        <v>179</v>
      </c>
      <c r="E47" s="6" t="s">
        <v>137</v>
      </c>
      <c r="G47" s="6" t="s">
        <v>231</v>
      </c>
    </row>
    <row r="48">
      <c r="A48" s="13"/>
      <c r="B48" s="1" t="s">
        <v>181</v>
      </c>
      <c r="C48" s="6" t="s">
        <v>173</v>
      </c>
      <c r="D48" s="13" t="s">
        <v>137</v>
      </c>
      <c r="E48" s="6" t="s">
        <v>179</v>
      </c>
      <c r="G48" s="6" t="s">
        <v>233</v>
      </c>
    </row>
    <row r="49">
      <c r="A49" s="1"/>
      <c r="B49" s="1" t="s">
        <v>180</v>
      </c>
      <c r="C49" s="6" t="s">
        <v>235</v>
      </c>
      <c r="D49" s="13" t="s">
        <v>237</v>
      </c>
      <c r="E49" s="6" t="s">
        <v>149</v>
      </c>
      <c r="G49" s="6" t="s">
        <v>240</v>
      </c>
    </row>
    <row r="50">
      <c r="A50" s="1"/>
      <c r="B50" s="1"/>
      <c r="C50" s="6" t="s">
        <v>149</v>
      </c>
      <c r="E50" s="6" t="s">
        <v>180</v>
      </c>
    </row>
    <row r="51">
      <c r="A51" s="1"/>
      <c r="C51" s="6" t="s">
        <v>180</v>
      </c>
      <c r="D51" s="24" t="s">
        <v>243</v>
      </c>
      <c r="E51" s="22" t="s">
        <v>244</v>
      </c>
    </row>
    <row r="52">
      <c r="A52" s="1"/>
      <c r="D52" s="13" t="s">
        <v>136</v>
      </c>
    </row>
    <row r="53">
      <c r="A53" s="1"/>
      <c r="B53" s="6" t="s">
        <v>247</v>
      </c>
      <c r="D53" s="13" t="s">
        <v>176</v>
      </c>
    </row>
    <row r="54">
      <c r="A54" s="1"/>
      <c r="B54" s="6" t="s">
        <v>159</v>
      </c>
      <c r="D54" s="13" t="s">
        <v>205</v>
      </c>
      <c r="E54" s="22" t="s">
        <v>250</v>
      </c>
    </row>
    <row r="55">
      <c r="A55" s="1"/>
      <c r="D55" s="13"/>
      <c r="E55" s="126" t="s">
        <v>136</v>
      </c>
    </row>
    <row r="56">
      <c r="A56" s="1"/>
      <c r="E56" s="126" t="s">
        <v>205</v>
      </c>
      <c r="G56" s="6" t="s">
        <v>254</v>
      </c>
    </row>
    <row r="57">
      <c r="A57" s="1"/>
      <c r="E57" s="126" t="s">
        <v>145</v>
      </c>
    </row>
    <row r="58">
      <c r="A58" s="1"/>
      <c r="C58" s="6" t="s">
        <v>255</v>
      </c>
      <c r="D58" s="24" t="s">
        <v>256</v>
      </c>
      <c r="E58" s="126" t="s">
        <v>181</v>
      </c>
      <c r="G58" s="6" t="s">
        <v>258</v>
      </c>
    </row>
    <row r="59">
      <c r="A59" s="1"/>
      <c r="C59" s="1" t="s">
        <v>205</v>
      </c>
      <c r="D59" s="13" t="s">
        <v>194</v>
      </c>
      <c r="E59" s="126" t="s">
        <v>194</v>
      </c>
      <c r="G59" s="6" t="s">
        <v>260</v>
      </c>
    </row>
    <row r="60">
      <c r="A60" s="1"/>
      <c r="C60" s="129" t="s">
        <v>145</v>
      </c>
      <c r="D60" s="13" t="s">
        <v>178</v>
      </c>
      <c r="G60" s="6" t="s">
        <v>261</v>
      </c>
    </row>
    <row r="61">
      <c r="A61" s="1"/>
      <c r="C61" s="129" t="s">
        <v>181</v>
      </c>
      <c r="D61" s="13" t="s">
        <v>237</v>
      </c>
      <c r="G61" s="6" t="s">
        <v>266</v>
      </c>
    </row>
    <row r="62">
      <c r="A62" s="1"/>
      <c r="B62" s="1"/>
      <c r="C62" s="129" t="s">
        <v>163</v>
      </c>
      <c r="D62" s="13" t="s">
        <v>149</v>
      </c>
      <c r="G62" s="6" t="s">
        <v>267</v>
      </c>
    </row>
    <row r="63">
      <c r="A63" s="1"/>
      <c r="B63" s="1"/>
      <c r="C63" s="13" t="s">
        <v>177</v>
      </c>
      <c r="D63" s="13" t="s">
        <v>169</v>
      </c>
      <c r="G63" s="6" t="s">
        <v>268</v>
      </c>
    </row>
    <row r="64">
      <c r="A64" s="1"/>
      <c r="B64" s="1"/>
      <c r="C64" s="13" t="s">
        <v>176</v>
      </c>
      <c r="D64" s="13" t="s">
        <v>145</v>
      </c>
      <c r="G64" s="6" t="s">
        <v>270</v>
      </c>
    </row>
    <row r="65">
      <c r="A65" s="1"/>
      <c r="B65" s="1"/>
      <c r="C65" s="1"/>
      <c r="D65" s="13" t="s">
        <v>159</v>
      </c>
      <c r="G65" s="6" t="s">
        <v>273</v>
      </c>
    </row>
    <row r="66">
      <c r="A66" s="1"/>
      <c r="B66" s="1"/>
      <c r="C66" s="1"/>
      <c r="D66" s="13" t="s">
        <v>176</v>
      </c>
      <c r="G66" s="6" t="s">
        <v>275</v>
      </c>
    </row>
    <row r="67">
      <c r="A67" s="1"/>
      <c r="B67" s="1"/>
      <c r="C67" s="1"/>
      <c r="D67" s="1"/>
      <c r="G67" s="6" t="s">
        <v>276</v>
      </c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34" t="s">
        <v>279</v>
      </c>
      <c r="D71" s="134" t="s">
        <v>279</v>
      </c>
      <c r="E71" s="134" t="s">
        <v>279</v>
      </c>
    </row>
    <row r="72">
      <c r="A72" s="1"/>
      <c r="B72" s="1"/>
      <c r="C72" s="136" t="s">
        <v>159</v>
      </c>
      <c r="D72" s="136" t="s">
        <v>180</v>
      </c>
      <c r="E72" s="6" t="s">
        <v>149</v>
      </c>
    </row>
    <row r="73">
      <c r="A73" s="1"/>
      <c r="B73" s="1"/>
      <c r="C73" s="136" t="s">
        <v>179</v>
      </c>
      <c r="D73" s="136" t="s">
        <v>205</v>
      </c>
      <c r="E73" s="6" t="s">
        <v>145</v>
      </c>
    </row>
    <row r="74">
      <c r="A74" s="1"/>
      <c r="B74" s="1"/>
      <c r="C74" s="136" t="s">
        <v>180</v>
      </c>
      <c r="D74" s="136" t="s">
        <v>237</v>
      </c>
      <c r="E74" s="6" t="s">
        <v>180</v>
      </c>
    </row>
    <row r="75">
      <c r="A75" s="1"/>
      <c r="B75" s="1"/>
      <c r="C75" s="136" t="s">
        <v>173</v>
      </c>
      <c r="D75" s="136" t="s">
        <v>169</v>
      </c>
      <c r="E75" s="6" t="s">
        <v>283</v>
      </c>
    </row>
    <row r="76">
      <c r="A76" s="1"/>
      <c r="B76" s="1"/>
      <c r="C76" s="136" t="s">
        <v>136</v>
      </c>
      <c r="D76" s="136" t="s">
        <v>155</v>
      </c>
      <c r="E76" s="6" t="s">
        <v>141</v>
      </c>
    </row>
    <row r="77">
      <c r="A77" s="1"/>
      <c r="B77" s="1"/>
      <c r="C77" s="13"/>
      <c r="D77" s="13" t="s">
        <v>137</v>
      </c>
      <c r="E77" s="6" t="s">
        <v>194</v>
      </c>
    </row>
    <row r="78">
      <c r="A78" s="1"/>
      <c r="B78" s="1"/>
      <c r="C78" s="13"/>
      <c r="D78" s="136" t="s">
        <v>176</v>
      </c>
    </row>
    <row r="79">
      <c r="A79" s="1"/>
      <c r="D79" s="6" t="s">
        <v>136</v>
      </c>
    </row>
    <row r="80">
      <c r="A80" s="1"/>
      <c r="B80" s="1"/>
      <c r="C80" s="134" t="s">
        <v>287</v>
      </c>
      <c r="D80" s="134" t="s">
        <v>287</v>
      </c>
      <c r="E80" s="134" t="s">
        <v>287</v>
      </c>
    </row>
    <row r="81">
      <c r="A81" s="1"/>
      <c r="B81" s="1"/>
      <c r="C81" s="136" t="s">
        <v>180</v>
      </c>
      <c r="D81" s="136" t="s">
        <v>180</v>
      </c>
      <c r="E81" s="6" t="s">
        <v>149</v>
      </c>
    </row>
    <row r="82">
      <c r="A82" s="1"/>
      <c r="B82" s="1"/>
      <c r="C82" s="136" t="s">
        <v>176</v>
      </c>
      <c r="D82" s="136" t="s">
        <v>205</v>
      </c>
      <c r="E82" s="6" t="s">
        <v>145</v>
      </c>
    </row>
    <row r="83">
      <c r="A83" s="1"/>
      <c r="B83" s="1"/>
      <c r="C83" s="136" t="s">
        <v>173</v>
      </c>
      <c r="D83" s="136" t="s">
        <v>169</v>
      </c>
      <c r="E83" s="6" t="s">
        <v>180</v>
      </c>
    </row>
    <row r="84">
      <c r="A84" s="1"/>
      <c r="B84" s="1"/>
      <c r="C84" s="136" t="s">
        <v>136</v>
      </c>
      <c r="D84" s="136" t="s">
        <v>194</v>
      </c>
      <c r="E84" s="6" t="s">
        <v>283</v>
      </c>
    </row>
    <row r="85">
      <c r="A85" s="1"/>
      <c r="B85" s="1"/>
      <c r="C85" s="136" t="s">
        <v>291</v>
      </c>
      <c r="D85" s="136" t="s">
        <v>177</v>
      </c>
      <c r="E85" s="6" t="s">
        <v>141</v>
      </c>
    </row>
    <row r="86">
      <c r="A86" s="1"/>
      <c r="B86" s="1"/>
      <c r="D86" s="6" t="s">
        <v>137</v>
      </c>
      <c r="E86" s="6" t="s">
        <v>194</v>
      </c>
    </row>
    <row r="87">
      <c r="A87" s="1"/>
      <c r="D87" s="6" t="s">
        <v>136</v>
      </c>
    </row>
    <row r="88">
      <c r="A88" s="1"/>
      <c r="D88" s="6" t="s">
        <v>166</v>
      </c>
    </row>
    <row r="89">
      <c r="A89" s="1"/>
      <c r="D89" s="136" t="s">
        <v>176</v>
      </c>
    </row>
    <row r="90">
      <c r="A90" s="1"/>
    </row>
    <row r="91">
      <c r="A91" s="1"/>
      <c r="B91" s="1"/>
    </row>
    <row r="92">
      <c r="A92" s="1"/>
      <c r="B92" s="1"/>
      <c r="C92" s="134" t="s">
        <v>292</v>
      </c>
      <c r="D92" s="134" t="s">
        <v>292</v>
      </c>
      <c r="E92" s="134" t="s">
        <v>292</v>
      </c>
    </row>
    <row r="93">
      <c r="A93" s="1"/>
      <c r="B93" s="1"/>
      <c r="C93" s="136" t="s">
        <v>294</v>
      </c>
      <c r="D93" s="136" t="s">
        <v>136</v>
      </c>
      <c r="E93" s="6" t="s">
        <v>180</v>
      </c>
    </row>
    <row r="94">
      <c r="A94" s="1"/>
      <c r="B94" s="1"/>
      <c r="C94" s="136" t="s">
        <v>180</v>
      </c>
      <c r="D94" s="136" t="s">
        <v>205</v>
      </c>
      <c r="E94" s="6" t="s">
        <v>283</v>
      </c>
    </row>
    <row r="95">
      <c r="A95" s="1"/>
      <c r="B95" s="1"/>
      <c r="C95" s="136" t="s">
        <v>181</v>
      </c>
      <c r="D95" s="136" t="s">
        <v>169</v>
      </c>
      <c r="E95" s="6" t="s">
        <v>149</v>
      </c>
    </row>
    <row r="96">
      <c r="A96" s="1"/>
      <c r="B96" s="1"/>
      <c r="C96" s="136" t="s">
        <v>145</v>
      </c>
      <c r="D96" s="136" t="s">
        <v>179</v>
      </c>
      <c r="E96" s="6" t="s">
        <v>194</v>
      </c>
    </row>
    <row r="97">
      <c r="A97" s="1"/>
      <c r="B97" s="1"/>
      <c r="C97" s="136" t="s">
        <v>136</v>
      </c>
      <c r="D97" s="136" t="s">
        <v>166</v>
      </c>
    </row>
    <row r="98">
      <c r="A98" s="1"/>
      <c r="B98" s="1"/>
      <c r="D98" s="6" t="s">
        <v>137</v>
      </c>
    </row>
    <row r="99">
      <c r="A99" s="1"/>
      <c r="B99" s="1"/>
      <c r="D99" s="136" t="s">
        <v>176</v>
      </c>
    </row>
    <row r="100">
      <c r="A100" s="1"/>
      <c r="B100" s="1"/>
      <c r="C100" s="136" t="s">
        <v>298</v>
      </c>
      <c r="D100" s="136" t="s">
        <v>298</v>
      </c>
      <c r="E100" s="136" t="s">
        <v>298</v>
      </c>
    </row>
    <row r="101">
      <c r="A101" s="1"/>
      <c r="B101" s="1"/>
      <c r="C101" s="136" t="s">
        <v>159</v>
      </c>
      <c r="D101" s="136" t="s">
        <v>180</v>
      </c>
      <c r="E101" s="136" t="s">
        <v>149</v>
      </c>
    </row>
    <row r="102">
      <c r="A102" s="1"/>
      <c r="B102" s="1"/>
      <c r="C102" s="136" t="s">
        <v>176</v>
      </c>
      <c r="D102" s="136" t="s">
        <v>205</v>
      </c>
      <c r="E102" s="136" t="s">
        <v>145</v>
      </c>
    </row>
    <row r="103">
      <c r="A103" s="1"/>
      <c r="B103" s="1"/>
      <c r="C103" s="136" t="s">
        <v>141</v>
      </c>
      <c r="D103" s="136" t="s">
        <v>179</v>
      </c>
      <c r="E103" s="6" t="s">
        <v>180</v>
      </c>
    </row>
    <row r="104">
      <c r="A104" s="1"/>
      <c r="B104" s="1"/>
      <c r="C104" s="136" t="s">
        <v>136</v>
      </c>
      <c r="D104" s="136" t="s">
        <v>169</v>
      </c>
      <c r="E104" s="136" t="s">
        <v>141</v>
      </c>
    </row>
    <row r="105">
      <c r="A105" s="1"/>
      <c r="B105" s="1"/>
      <c r="C105" s="136" t="s">
        <v>173</v>
      </c>
      <c r="D105" s="136" t="s">
        <v>237</v>
      </c>
      <c r="E105" s="136" t="s">
        <v>194</v>
      </c>
    </row>
    <row r="106">
      <c r="A106" s="1"/>
      <c r="B106" s="1"/>
      <c r="C106" s="136" t="s">
        <v>155</v>
      </c>
      <c r="D106" s="136" t="s">
        <v>155</v>
      </c>
      <c r="E106" s="136"/>
    </row>
    <row r="107">
      <c r="A107" s="1"/>
      <c r="B107" s="1"/>
      <c r="C107" s="136" t="s">
        <v>180</v>
      </c>
      <c r="D107" s="136" t="s">
        <v>300</v>
      </c>
      <c r="E107" s="136"/>
    </row>
    <row r="108">
      <c r="A108" s="1"/>
      <c r="B108" s="1"/>
      <c r="C108" s="136" t="s">
        <v>145</v>
      </c>
      <c r="D108" s="136" t="s">
        <v>176</v>
      </c>
      <c r="E108" s="136"/>
    </row>
    <row r="109">
      <c r="A109" s="1"/>
      <c r="B109" s="1"/>
      <c r="C109" s="136" t="s">
        <v>181</v>
      </c>
      <c r="D109" s="136" t="s">
        <v>141</v>
      </c>
      <c r="E109" s="136"/>
    </row>
    <row r="110">
      <c r="A110" s="1"/>
      <c r="B110" s="1"/>
      <c r="C110" s="142"/>
      <c r="D110" s="136" t="s">
        <v>136</v>
      </c>
      <c r="E110" s="136"/>
    </row>
    <row r="111">
      <c r="A111" s="1"/>
      <c r="B111" s="1"/>
      <c r="C111" s="142"/>
      <c r="D111" s="142"/>
      <c r="E111" s="142"/>
    </row>
    <row r="112">
      <c r="A112" s="1"/>
      <c r="B112" s="1"/>
      <c r="C112" s="142"/>
      <c r="D112" s="142"/>
      <c r="E112" s="142"/>
    </row>
    <row r="113">
      <c r="A113" s="1"/>
      <c r="B113" s="1"/>
      <c r="C113" s="151">
        <f t="shared" ref="C113:E113" si="1">COUNTA(C101:C112)</f>
        <v>9</v>
      </c>
      <c r="D113" s="151">
        <f t="shared" si="1"/>
        <v>10</v>
      </c>
      <c r="E113" s="151">
        <f t="shared" si="1"/>
        <v>5</v>
      </c>
    </row>
    <row r="114">
      <c r="A114" s="1"/>
      <c r="B114" s="1"/>
      <c r="C114" s="1"/>
      <c r="D114" s="1"/>
      <c r="E114" s="1"/>
    </row>
    <row r="115">
      <c r="A115" s="1"/>
      <c r="B115" s="1"/>
      <c r="C115" s="136" t="s">
        <v>305</v>
      </c>
      <c r="D115" s="136" t="s">
        <v>305</v>
      </c>
      <c r="E115" s="136" t="s">
        <v>305</v>
      </c>
    </row>
    <row r="116">
      <c r="A116" s="1"/>
      <c r="B116" s="1"/>
      <c r="C116" s="136" t="s">
        <v>205</v>
      </c>
      <c r="D116" s="136" t="s">
        <v>180</v>
      </c>
      <c r="E116" s="136" t="s">
        <v>306</v>
      </c>
    </row>
    <row r="117">
      <c r="A117" s="1"/>
      <c r="B117" s="1"/>
      <c r="C117" s="136" t="s">
        <v>159</v>
      </c>
      <c r="D117" s="136" t="s">
        <v>307</v>
      </c>
      <c r="E117" s="136" t="s">
        <v>149</v>
      </c>
    </row>
    <row r="118">
      <c r="A118" s="1"/>
      <c r="B118" s="1"/>
      <c r="C118" s="136" t="s">
        <v>141</v>
      </c>
      <c r="D118" s="136" t="s">
        <v>205</v>
      </c>
      <c r="E118" s="6" t="s">
        <v>180</v>
      </c>
    </row>
    <row r="119">
      <c r="A119" s="1"/>
      <c r="B119" s="1"/>
      <c r="C119" s="136" t="s">
        <v>176</v>
      </c>
      <c r="D119" s="136" t="s">
        <v>237</v>
      </c>
      <c r="E119" s="136" t="s">
        <v>141</v>
      </c>
    </row>
    <row r="120">
      <c r="A120" s="1"/>
      <c r="B120" s="1"/>
      <c r="C120" s="136" t="s">
        <v>155</v>
      </c>
      <c r="D120" s="136" t="s">
        <v>169</v>
      </c>
      <c r="E120" s="136" t="s">
        <v>194</v>
      </c>
    </row>
    <row r="121">
      <c r="A121" s="1"/>
      <c r="B121" s="1"/>
      <c r="C121" s="136" t="s">
        <v>136</v>
      </c>
      <c r="D121" s="136" t="s">
        <v>163</v>
      </c>
      <c r="E121" s="136"/>
    </row>
    <row r="122">
      <c r="A122" s="1"/>
      <c r="B122" s="1"/>
      <c r="C122" s="136" t="s">
        <v>173</v>
      </c>
      <c r="D122" s="136" t="s">
        <v>155</v>
      </c>
      <c r="E122" s="136"/>
    </row>
    <row r="123">
      <c r="A123" s="1"/>
      <c r="B123" s="1"/>
      <c r="C123" s="136" t="s">
        <v>180</v>
      </c>
      <c r="D123" s="136" t="s">
        <v>300</v>
      </c>
      <c r="E123" s="136"/>
    </row>
    <row r="124">
      <c r="A124" s="1"/>
      <c r="B124" s="1"/>
      <c r="C124" s="136" t="s">
        <v>181</v>
      </c>
      <c r="D124" s="136" t="s">
        <v>176</v>
      </c>
      <c r="E124" s="136"/>
    </row>
    <row r="125">
      <c r="A125" s="1"/>
      <c r="B125" s="1"/>
      <c r="C125" s="136"/>
      <c r="D125" s="136" t="s">
        <v>141</v>
      </c>
      <c r="E125" s="136"/>
    </row>
    <row r="126">
      <c r="A126" s="1"/>
      <c r="B126" s="1"/>
      <c r="C126" s="142"/>
      <c r="D126" s="136" t="s">
        <v>136</v>
      </c>
      <c r="E126" s="136"/>
    </row>
    <row r="127">
      <c r="A127" s="1"/>
      <c r="B127" s="1"/>
      <c r="C127" s="142"/>
      <c r="D127" s="142"/>
      <c r="E127" s="142"/>
    </row>
    <row r="128">
      <c r="A128" s="1"/>
      <c r="B128" s="1"/>
      <c r="C128" s="142"/>
      <c r="D128" s="142"/>
      <c r="E128" s="142"/>
    </row>
    <row r="129">
      <c r="A129" s="1"/>
      <c r="B129" s="1"/>
      <c r="C129" s="160">
        <f t="shared" ref="C129:E129" si="2">COUNTA(C116:C128)</f>
        <v>9</v>
      </c>
      <c r="D129" s="160">
        <f t="shared" si="2"/>
        <v>11</v>
      </c>
      <c r="E129" s="160">
        <f t="shared" si="2"/>
        <v>5</v>
      </c>
    </row>
    <row r="130">
      <c r="A130" s="1"/>
      <c r="B130" s="1"/>
      <c r="C130" s="1"/>
      <c r="D130" s="1"/>
      <c r="E130" s="1"/>
    </row>
    <row r="131">
      <c r="A131" s="1"/>
      <c r="B131" s="1"/>
      <c r="C131" s="136" t="s">
        <v>309</v>
      </c>
      <c r="D131" s="136" t="s">
        <v>309</v>
      </c>
      <c r="E131" s="136" t="s">
        <v>309</v>
      </c>
    </row>
    <row r="132">
      <c r="A132" s="1"/>
      <c r="B132" s="1"/>
      <c r="C132" s="136" t="s">
        <v>205</v>
      </c>
      <c r="D132" s="136" t="s">
        <v>180</v>
      </c>
      <c r="E132" s="136" t="s">
        <v>149</v>
      </c>
    </row>
    <row r="133">
      <c r="A133" s="1"/>
      <c r="B133" s="1"/>
      <c r="C133" s="136" t="s">
        <v>159</v>
      </c>
      <c r="D133" s="136" t="s">
        <v>307</v>
      </c>
      <c r="E133" s="136" t="s">
        <v>145</v>
      </c>
    </row>
    <row r="134">
      <c r="A134" s="1"/>
      <c r="B134" s="1"/>
      <c r="C134" s="136" t="s">
        <v>141</v>
      </c>
      <c r="D134" s="136" t="s">
        <v>205</v>
      </c>
      <c r="E134" s="6" t="s">
        <v>180</v>
      </c>
    </row>
    <row r="135">
      <c r="A135" s="1"/>
      <c r="B135" s="1"/>
      <c r="C135" s="136" t="s">
        <v>176</v>
      </c>
      <c r="D135" s="136" t="s">
        <v>179</v>
      </c>
      <c r="E135" s="136" t="s">
        <v>141</v>
      </c>
    </row>
    <row r="136">
      <c r="A136" s="1"/>
      <c r="B136" s="1"/>
      <c r="C136" s="136" t="s">
        <v>311</v>
      </c>
      <c r="D136" s="136" t="s">
        <v>169</v>
      </c>
      <c r="E136" s="136" t="s">
        <v>194</v>
      </c>
    </row>
    <row r="137">
      <c r="A137" s="1"/>
      <c r="B137" s="1"/>
      <c r="C137" s="136" t="s">
        <v>136</v>
      </c>
      <c r="D137" s="136" t="s">
        <v>194</v>
      </c>
      <c r="E137" s="136"/>
    </row>
    <row r="138">
      <c r="A138" s="1"/>
      <c r="B138" s="1"/>
      <c r="C138" s="136" t="s">
        <v>173</v>
      </c>
      <c r="D138" s="136" t="s">
        <v>155</v>
      </c>
      <c r="E138" s="136"/>
    </row>
    <row r="139">
      <c r="A139" s="1"/>
      <c r="B139" s="1"/>
      <c r="C139" s="136" t="s">
        <v>180</v>
      </c>
      <c r="D139" s="136" t="s">
        <v>163</v>
      </c>
      <c r="E139" s="136"/>
    </row>
    <row r="140">
      <c r="A140" s="1"/>
      <c r="B140" s="1"/>
      <c r="C140" s="136" t="s">
        <v>181</v>
      </c>
      <c r="D140" s="136" t="s">
        <v>176</v>
      </c>
      <c r="E140" s="136"/>
    </row>
    <row r="141">
      <c r="A141" s="1"/>
      <c r="B141" s="1"/>
      <c r="C141" s="142"/>
      <c r="D141" s="136" t="s">
        <v>141</v>
      </c>
      <c r="E141" s="136"/>
    </row>
    <row r="142">
      <c r="A142" s="1"/>
      <c r="B142" s="1"/>
      <c r="C142" s="142"/>
      <c r="D142" s="136" t="s">
        <v>136</v>
      </c>
      <c r="E142" s="136"/>
    </row>
    <row r="143">
      <c r="A143" s="1"/>
      <c r="B143" s="1"/>
      <c r="C143" s="142"/>
      <c r="D143" s="142"/>
      <c r="E143" s="142"/>
    </row>
    <row r="144">
      <c r="A144" s="1"/>
      <c r="B144" s="1"/>
      <c r="C144" s="142"/>
      <c r="D144" s="142"/>
      <c r="E144" s="142"/>
    </row>
    <row r="145">
      <c r="A145" s="1"/>
      <c r="B145" s="1"/>
      <c r="C145" s="160">
        <f t="shared" ref="C145:E145" si="3">COUNTA(C132:C144)</f>
        <v>9</v>
      </c>
      <c r="D145" s="160">
        <f t="shared" si="3"/>
        <v>11</v>
      </c>
      <c r="E145" s="160">
        <f t="shared" si="3"/>
        <v>5</v>
      </c>
    </row>
    <row r="146">
      <c r="A146" s="1"/>
      <c r="B146" s="1"/>
    </row>
    <row r="147">
      <c r="A147" s="1"/>
      <c r="B147" s="1"/>
      <c r="C147" s="136" t="s">
        <v>313</v>
      </c>
      <c r="D147" s="136" t="s">
        <v>313</v>
      </c>
      <c r="E147" s="136" t="s">
        <v>313</v>
      </c>
    </row>
    <row r="148">
      <c r="A148" s="1"/>
      <c r="B148" s="1"/>
      <c r="C148" s="136" t="s">
        <v>205</v>
      </c>
      <c r="D148" s="136" t="s">
        <v>307</v>
      </c>
      <c r="E148" s="6" t="s">
        <v>180</v>
      </c>
    </row>
    <row r="149">
      <c r="A149" s="1"/>
      <c r="B149" s="1"/>
      <c r="C149" s="136" t="s">
        <v>194</v>
      </c>
      <c r="D149" s="136" t="s">
        <v>205</v>
      </c>
      <c r="E149" s="136" t="s">
        <v>194</v>
      </c>
    </row>
    <row r="150">
      <c r="A150" s="1"/>
      <c r="B150" s="1"/>
      <c r="C150" s="136" t="s">
        <v>176</v>
      </c>
      <c r="D150" s="136" t="s">
        <v>169</v>
      </c>
      <c r="E150" s="136"/>
    </row>
    <row r="151">
      <c r="A151" s="1"/>
      <c r="B151" s="1"/>
      <c r="C151" s="136" t="s">
        <v>155</v>
      </c>
      <c r="D151" s="136" t="s">
        <v>179</v>
      </c>
      <c r="E151" s="136"/>
    </row>
    <row r="152">
      <c r="A152" s="1"/>
      <c r="B152" s="1"/>
      <c r="C152" s="136" t="s">
        <v>180</v>
      </c>
      <c r="D152" s="136" t="s">
        <v>136</v>
      </c>
      <c r="E152" s="136"/>
    </row>
    <row r="153">
      <c r="A153" s="1"/>
      <c r="B153" s="1"/>
      <c r="C153" s="136" t="s">
        <v>159</v>
      </c>
      <c r="D153" s="136" t="s">
        <v>155</v>
      </c>
      <c r="E153" s="136"/>
    </row>
    <row r="154">
      <c r="A154" s="1"/>
      <c r="B154" s="1"/>
      <c r="C154" s="136" t="s">
        <v>181</v>
      </c>
      <c r="D154" s="136" t="s">
        <v>163</v>
      </c>
      <c r="E154" s="136"/>
    </row>
    <row r="155">
      <c r="A155" s="1"/>
      <c r="B155" s="1"/>
      <c r="C155" s="136"/>
      <c r="D155" s="136" t="s">
        <v>300</v>
      </c>
      <c r="E155" s="136"/>
    </row>
    <row r="156">
      <c r="A156" s="1"/>
      <c r="B156" s="1"/>
      <c r="C156" s="142"/>
      <c r="D156" s="136" t="s">
        <v>176</v>
      </c>
      <c r="E156" s="136"/>
    </row>
    <row r="157">
      <c r="A157" s="1"/>
      <c r="B157" s="1"/>
      <c r="C157" s="142"/>
      <c r="D157" s="136" t="s">
        <v>141</v>
      </c>
      <c r="E157" s="136"/>
    </row>
    <row r="158">
      <c r="A158" s="1"/>
      <c r="B158" s="1"/>
      <c r="C158" s="142"/>
      <c r="D158" s="142"/>
      <c r="E158" s="142"/>
    </row>
    <row r="159">
      <c r="A159" s="1"/>
      <c r="B159" s="1"/>
      <c r="C159" s="142"/>
      <c r="D159" s="142"/>
      <c r="E159" s="142"/>
    </row>
    <row r="160">
      <c r="A160" s="1"/>
      <c r="B160" s="1"/>
      <c r="C160" s="142"/>
      <c r="D160" s="142"/>
      <c r="E160" s="142"/>
    </row>
    <row r="161">
      <c r="A161" s="1"/>
      <c r="B161" s="1"/>
      <c r="C161" s="160">
        <f t="shared" ref="C161:E161" si="4">COUNTA(C148:C160)</f>
        <v>7</v>
      </c>
      <c r="D161" s="160">
        <f t="shared" si="4"/>
        <v>10</v>
      </c>
      <c r="E161" s="160">
        <f t="shared" si="4"/>
        <v>2</v>
      </c>
    </row>
    <row r="162">
      <c r="A162" s="1"/>
      <c r="B162" s="1"/>
      <c r="D162" s="1"/>
    </row>
    <row r="163">
      <c r="A163" s="1"/>
      <c r="B163" s="1"/>
      <c r="D163" s="1"/>
    </row>
    <row r="164">
      <c r="A164" s="1"/>
      <c r="B164" s="1"/>
      <c r="D164" s="13" t="s">
        <v>318</v>
      </c>
    </row>
    <row r="165">
      <c r="A165" s="1"/>
      <c r="B165" s="1"/>
      <c r="D165" s="13"/>
    </row>
    <row r="166">
      <c r="A166" s="1"/>
      <c r="B166" s="1"/>
      <c r="D166" s="13" t="s">
        <v>319</v>
      </c>
    </row>
    <row r="167">
      <c r="A167" s="1"/>
      <c r="B167" s="1"/>
      <c r="D167" s="13"/>
    </row>
    <row r="168">
      <c r="A168" s="1"/>
      <c r="B168" s="1"/>
      <c r="D168" s="13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  <row r="1001">
      <c r="A1001" s="1"/>
      <c r="B1001" s="1"/>
      <c r="C1001" s="1"/>
      <c r="D1001" s="1"/>
    </row>
    <row r="1002">
      <c r="A1002" s="1"/>
      <c r="B1002" s="1"/>
      <c r="C1002" s="1"/>
      <c r="D1002" s="1"/>
    </row>
    <row r="1003">
      <c r="A1003" s="1"/>
      <c r="B1003" s="1"/>
      <c r="C1003" s="1"/>
      <c r="D1003" s="1"/>
    </row>
    <row r="1004">
      <c r="A1004" s="1"/>
      <c r="B1004" s="1"/>
      <c r="C1004" s="1"/>
      <c r="D1004" s="1"/>
    </row>
    <row r="1005">
      <c r="A1005" s="1"/>
      <c r="B1005" s="1"/>
      <c r="C1005" s="1"/>
      <c r="D1005" s="1"/>
    </row>
    <row r="1006">
      <c r="A1006" s="1"/>
      <c r="B1006" s="1"/>
      <c r="C1006" s="1"/>
      <c r="D1006" s="1"/>
    </row>
    <row r="1007">
      <c r="A1007" s="1"/>
      <c r="B1007" s="1"/>
      <c r="C1007" s="1"/>
      <c r="D1007" s="1"/>
    </row>
    <row r="1008">
      <c r="A1008" s="1"/>
      <c r="B1008" s="1"/>
      <c r="C1008" s="1"/>
      <c r="D1008" s="1"/>
    </row>
    <row r="1009">
      <c r="A1009" s="1"/>
      <c r="B1009" s="1"/>
      <c r="C1009" s="1"/>
      <c r="D1009" s="1"/>
    </row>
    <row r="1010">
      <c r="A1010" s="1"/>
      <c r="B1010" s="1"/>
      <c r="C1010" s="1"/>
      <c r="D1010" s="1"/>
    </row>
    <row r="1011">
      <c r="A1011" s="1"/>
      <c r="B1011" s="1"/>
      <c r="C1011" s="1"/>
      <c r="D1011" s="1"/>
    </row>
    <row r="1012">
      <c r="A1012" s="1"/>
      <c r="B1012" s="1"/>
      <c r="C1012" s="1"/>
      <c r="D1012" s="1"/>
    </row>
    <row r="1013">
      <c r="A1013" s="1"/>
      <c r="B1013" s="1"/>
      <c r="C1013" s="1"/>
      <c r="D1013" s="1"/>
    </row>
    <row r="1014">
      <c r="A1014" s="1"/>
      <c r="B1014" s="1"/>
      <c r="C1014" s="1"/>
      <c r="D1014" s="1"/>
    </row>
    <row r="1015">
      <c r="A1015" s="1"/>
      <c r="B1015" s="1"/>
      <c r="C1015" s="1"/>
      <c r="D1015" s="1"/>
    </row>
    <row r="1016">
      <c r="A1016" s="1"/>
      <c r="B1016" s="1"/>
      <c r="C1016" s="1"/>
      <c r="D1016" s="1"/>
    </row>
    <row r="1017">
      <c r="A1017" s="1"/>
      <c r="B1017" s="1"/>
      <c r="C1017" s="1"/>
      <c r="D1017" s="1"/>
    </row>
    <row r="1018">
      <c r="A1018" s="1"/>
      <c r="B1018" s="1"/>
      <c r="C1018" s="1"/>
      <c r="D1018" s="1"/>
    </row>
    <row r="1019">
      <c r="A1019" s="1"/>
      <c r="B1019" s="1"/>
      <c r="C1019" s="1"/>
      <c r="D1019" s="1"/>
    </row>
    <row r="1020">
      <c r="A1020" s="1"/>
      <c r="B1020" s="1"/>
      <c r="C1020" s="1"/>
      <c r="D1020" s="1"/>
    </row>
    <row r="1021">
      <c r="A1021" s="1"/>
      <c r="B1021" s="1"/>
      <c r="C1021" s="1"/>
      <c r="D1021" s="1"/>
    </row>
    <row r="1022">
      <c r="A1022" s="1"/>
      <c r="B1022" s="1"/>
      <c r="C1022" s="1"/>
      <c r="D1022" s="1"/>
    </row>
    <row r="1023">
      <c r="A1023" s="1"/>
      <c r="B1023" s="1"/>
      <c r="C1023" s="1"/>
      <c r="D1023" s="1"/>
    </row>
    <row r="1024">
      <c r="A1024" s="1"/>
      <c r="B1024" s="1"/>
      <c r="C1024" s="1"/>
      <c r="D1024" s="1"/>
    </row>
    <row r="1025">
      <c r="A1025" s="1"/>
      <c r="B1025" s="1"/>
      <c r="C1025" s="1"/>
      <c r="D1025" s="1"/>
    </row>
    <row r="1026">
      <c r="A1026" s="1"/>
      <c r="B1026" s="1"/>
      <c r="C1026" s="1"/>
      <c r="D1026" s="1"/>
    </row>
    <row r="1027">
      <c r="A1027" s="1"/>
      <c r="B1027" s="1"/>
      <c r="C1027" s="1"/>
      <c r="D1027" s="1"/>
    </row>
    <row r="1028">
      <c r="A1028" s="1"/>
      <c r="B1028" s="1"/>
      <c r="C1028" s="1"/>
      <c r="D1028" s="1"/>
    </row>
    <row r="1029">
      <c r="A1029" s="1"/>
      <c r="B1029" s="1"/>
      <c r="C1029" s="1"/>
      <c r="D1029" s="1"/>
    </row>
    <row r="1030">
      <c r="A1030" s="1"/>
      <c r="B1030" s="1"/>
      <c r="C1030" s="1"/>
      <c r="D1030" s="1"/>
    </row>
    <row r="1031">
      <c r="A1031" s="1"/>
      <c r="B1031" s="1"/>
      <c r="C1031" s="1"/>
      <c r="D1031" s="1"/>
    </row>
    <row r="1032">
      <c r="A1032" s="1"/>
      <c r="B1032" s="1"/>
      <c r="C1032" s="1"/>
      <c r="D1032" s="1"/>
    </row>
    <row r="1033">
      <c r="A1033" s="1"/>
      <c r="B1033" s="1"/>
      <c r="C1033" s="1"/>
      <c r="D1033" s="1"/>
    </row>
    <row r="1034">
      <c r="A1034" s="1"/>
      <c r="B1034" s="1"/>
      <c r="C1034" s="1"/>
      <c r="D1034" s="1"/>
    </row>
    <row r="1035">
      <c r="A1035" s="1"/>
      <c r="B1035" s="1"/>
      <c r="C1035" s="1"/>
      <c r="D1035" s="1"/>
    </row>
    <row r="1036">
      <c r="A1036" s="1"/>
      <c r="B1036" s="1"/>
      <c r="C1036" s="1"/>
      <c r="D1036" s="1"/>
    </row>
    <row r="1037">
      <c r="A1037" s="1"/>
      <c r="B1037" s="1"/>
      <c r="C1037" s="1"/>
      <c r="D1037" s="1"/>
    </row>
    <row r="1038">
      <c r="A1038" s="1"/>
      <c r="B1038" s="1"/>
      <c r="C1038" s="1"/>
      <c r="D1038" s="1"/>
    </row>
    <row r="1039">
      <c r="A1039" s="1"/>
      <c r="B1039" s="1"/>
      <c r="C1039" s="1"/>
      <c r="D1039" s="1"/>
    </row>
    <row r="1040">
      <c r="A1040" s="1"/>
      <c r="B1040" s="1"/>
      <c r="C1040" s="1"/>
      <c r="D1040" s="1"/>
    </row>
    <row r="1041">
      <c r="A1041" s="1"/>
      <c r="B1041" s="1"/>
      <c r="C1041" s="1"/>
      <c r="D1041" s="1"/>
    </row>
    <row r="1042">
      <c r="A1042" s="1"/>
      <c r="B1042" s="1"/>
      <c r="C1042" s="1"/>
      <c r="D1042" s="1"/>
    </row>
    <row r="1043">
      <c r="A1043" s="1"/>
      <c r="B1043" s="1"/>
      <c r="C1043" s="1"/>
      <c r="D1043" s="1"/>
    </row>
    <row r="1044">
      <c r="A1044" s="1"/>
      <c r="B1044" s="1"/>
      <c r="C1044" s="1"/>
      <c r="D1044" s="1"/>
    </row>
    <row r="1045">
      <c r="A1045" s="1"/>
      <c r="B1045" s="1"/>
      <c r="C1045" s="1"/>
      <c r="D1045" s="1"/>
    </row>
    <row r="1046">
      <c r="A1046" s="1"/>
      <c r="B1046" s="1"/>
      <c r="C1046" s="1"/>
      <c r="D1046" s="1"/>
    </row>
    <row r="1047">
      <c r="A1047" s="1"/>
      <c r="B1047" s="1"/>
      <c r="C1047" s="1"/>
      <c r="D1047" s="1"/>
    </row>
    <row r="1048">
      <c r="A1048" s="1"/>
      <c r="B1048" s="1"/>
      <c r="C1048" s="1"/>
      <c r="D1048" s="1"/>
    </row>
    <row r="1049">
      <c r="A1049" s="1"/>
      <c r="B1049" s="1"/>
      <c r="C1049" s="1"/>
      <c r="D1049" s="1"/>
    </row>
    <row r="1050">
      <c r="A1050" s="1"/>
      <c r="B1050" s="1"/>
      <c r="C1050" s="1"/>
      <c r="D1050" s="1"/>
    </row>
    <row r="1051">
      <c r="A1051" s="1"/>
      <c r="B1051" s="1"/>
      <c r="C1051" s="1"/>
      <c r="D1051" s="1"/>
    </row>
    <row r="1052">
      <c r="A1052" s="1"/>
      <c r="B1052" s="1"/>
      <c r="C1052" s="1"/>
      <c r="D1052" s="1"/>
    </row>
    <row r="1053">
      <c r="A1053" s="1"/>
      <c r="B1053" s="1"/>
      <c r="C1053" s="1"/>
      <c r="D1053" s="1"/>
    </row>
    <row r="1054">
      <c r="A1054" s="1"/>
      <c r="B1054" s="1"/>
      <c r="C1054" s="1"/>
      <c r="D1054" s="1"/>
    </row>
    <row r="1055">
      <c r="A1055" s="1"/>
      <c r="B1055" s="1"/>
      <c r="C1055" s="1"/>
      <c r="D1055" s="1"/>
    </row>
  </sheetData>
  <conditionalFormatting sqref="A1:D1055 E1:E54 F1:F1055 G1:H1 I1:Z1055 G7:G1076 H7:H1055 E67:E1055">
    <cfRule type="beginsWith" dxfId="0" priority="1" operator="beginsWith" text="CX">
      <formula>LEFT((A1),LEN("CX"))=("CX")</formula>
    </cfRule>
  </conditionalFormatting>
  <conditionalFormatting sqref="A1:D1055 E1:E54 F1:F1055 G1:H1 I1:Z1055 G7:G1076 H7:H1055 E67:E1055">
    <cfRule type="beginsWith" dxfId="1" priority="2" operator="beginsWith" text="Guest">
      <formula>LEFT((A1),LEN("Guest"))=("Guest")</formula>
    </cfRule>
  </conditionalFormatting>
  <conditionalFormatting sqref="A1:D1055 E1:E54 F1:F1055 G1:H1 I1:Z1055 G7:G1076 H7:H1055 E67:E1055">
    <cfRule type="beginsWith" dxfId="2" priority="3" operator="beginsWith" text="Lunch">
      <formula>LEFT((A1),LEN("Lunch"))=("Lunch")</formula>
    </cfRule>
  </conditionalFormatting>
  <conditionalFormatting sqref="A1:D1055 E1:E54 F1:F1055 G1:H1 I1:Z1055 G7:G1076 H7:H1055 E67:E1055">
    <cfRule type="beginsWith" dxfId="2" priority="4" operator="beginsWith" text="Coffee">
      <formula>LEFT((A1),LEN("Coffee"))=("Coffee")</formula>
    </cfRule>
  </conditionalFormatting>
  <hyperlinks>
    <hyperlink r:id="rId1" ref="D23"/>
    <hyperlink r:id="rId2" ref="C24"/>
    <hyperlink r:id="rId3" ref="H29"/>
    <hyperlink r:id="rId4" ref="H34"/>
    <hyperlink r:id="rId5" ref="H35"/>
    <hyperlink r:id="rId6" ref="H38"/>
    <hyperlink r:id="rId7" ref="H39"/>
    <hyperlink r:id="rId8" location="c494bd" ref="H40"/>
    <hyperlink r:id="rId9" ref="H4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17" t="s">
        <v>1</v>
      </c>
    </row>
    <row r="2">
      <c r="A2" s="33" t="s">
        <v>26</v>
      </c>
    </row>
    <row r="3">
      <c r="A3" s="33" t="s">
        <v>41</v>
      </c>
    </row>
    <row r="4">
      <c r="A4" s="17" t="s">
        <v>59</v>
      </c>
    </row>
    <row r="5">
      <c r="A5" s="33" t="s">
        <v>82</v>
      </c>
    </row>
    <row r="6">
      <c r="A6" s="17" t="s">
        <v>107</v>
      </c>
    </row>
  </sheetData>
  <hyperlinks>
    <hyperlink r:id="rId1" location="gid=58274208" ref="A1"/>
    <hyperlink r:id="rId2" location="gid=58274208" ref="A2"/>
    <hyperlink r:id="rId3" location="gid=58274208" ref="A3"/>
    <hyperlink r:id="rId4" location="gid=58274208" ref="A4"/>
    <hyperlink r:id="rId5" ref="A5"/>
    <hyperlink r:id="rId6" ref="A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7"/>
      <c r="B2" s="15" t="s">
        <v>14</v>
      </c>
      <c r="C2" s="1"/>
      <c r="D2" s="18" t="s">
        <v>19</v>
      </c>
      <c r="E2" s="20"/>
      <c r="F2" s="20"/>
      <c r="G2" s="20"/>
      <c r="H2" s="20"/>
      <c r="I2" s="23"/>
      <c r="O2" s="1"/>
      <c r="P2" s="1"/>
      <c r="Q2" s="1"/>
    </row>
    <row r="3">
      <c r="A3" s="7"/>
      <c r="B3" s="27"/>
      <c r="C3" s="1"/>
      <c r="D3" s="28"/>
      <c r="E3" s="30"/>
      <c r="F3" s="30"/>
      <c r="G3" s="30"/>
      <c r="H3" s="30"/>
      <c r="I3" s="32"/>
      <c r="K3" s="1" t="s">
        <v>38</v>
      </c>
      <c r="L3" s="1"/>
      <c r="M3" s="1"/>
      <c r="N3" s="1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1" t="s">
        <v>48</v>
      </c>
    </row>
    <row r="5" ht="14.25" customHeight="1">
      <c r="A5" s="41"/>
      <c r="B5" s="41"/>
      <c r="C5" s="41"/>
      <c r="D5" s="41"/>
      <c r="E5" s="43" t="s">
        <v>57</v>
      </c>
      <c r="F5" s="20"/>
      <c r="G5" s="23"/>
      <c r="H5" s="41"/>
      <c r="I5" s="44"/>
      <c r="J5" s="41"/>
      <c r="K5" s="13" t="s">
        <v>66</v>
      </c>
      <c r="O5" s="1"/>
      <c r="P5" s="1"/>
      <c r="Q5" s="1"/>
    </row>
    <row r="6" ht="47.25" customHeight="1">
      <c r="A6" s="41"/>
      <c r="B6" s="41"/>
      <c r="C6" s="41"/>
      <c r="D6" s="41"/>
      <c r="E6" s="54" t="s">
        <v>74</v>
      </c>
      <c r="F6" s="30"/>
      <c r="G6" s="32"/>
      <c r="H6" s="41"/>
      <c r="I6" s="44"/>
      <c r="J6" s="41"/>
      <c r="K6" s="55" t="s">
        <v>109</v>
      </c>
      <c r="P6" s="1"/>
      <c r="Q6" s="1"/>
    </row>
    <row r="7">
      <c r="A7" s="41"/>
      <c r="B7" s="41"/>
      <c r="C7" s="41"/>
      <c r="D7" s="41"/>
      <c r="E7" s="56"/>
      <c r="F7" s="56"/>
      <c r="G7" s="56"/>
      <c r="H7" s="41"/>
      <c r="I7" s="44"/>
      <c r="J7" s="41"/>
      <c r="O7" s="1"/>
      <c r="P7" s="1"/>
      <c r="Q7" s="1"/>
    </row>
    <row r="8">
      <c r="A8" s="41"/>
      <c r="B8" s="59" t="s">
        <v>114</v>
      </c>
      <c r="C8" s="61" t="s">
        <v>115</v>
      </c>
      <c r="D8" s="20"/>
      <c r="E8" s="23"/>
      <c r="F8" s="63" t="s">
        <v>120</v>
      </c>
      <c r="G8" s="64"/>
      <c r="H8" s="66"/>
      <c r="I8" s="68" t="s">
        <v>126</v>
      </c>
      <c r="J8" s="69"/>
      <c r="K8" s="71"/>
      <c r="L8" s="71"/>
      <c r="M8" s="71"/>
      <c r="N8" s="71"/>
      <c r="O8" s="1"/>
      <c r="P8" s="1"/>
      <c r="Q8" s="1"/>
    </row>
    <row r="9">
      <c r="A9" s="41"/>
      <c r="B9" s="27"/>
      <c r="C9" s="72">
        <v>46076.0</v>
      </c>
      <c r="D9" s="73">
        <v>46078.0</v>
      </c>
      <c r="E9" s="76">
        <v>46079.0</v>
      </c>
      <c r="F9" s="79">
        <v>46083.0</v>
      </c>
      <c r="G9" s="81">
        <v>46085.0</v>
      </c>
      <c r="H9" s="82">
        <v>46086.0</v>
      </c>
      <c r="I9" s="83"/>
      <c r="J9" s="69"/>
      <c r="K9" s="71"/>
      <c r="L9" s="71"/>
      <c r="M9" s="71"/>
      <c r="N9" s="71"/>
    </row>
    <row r="10">
      <c r="A10" s="41"/>
      <c r="B10" s="84" t="s">
        <v>152</v>
      </c>
      <c r="C10" s="87" t="s">
        <v>153</v>
      </c>
      <c r="D10" s="90" t="s">
        <v>153</v>
      </c>
      <c r="E10" s="92" t="s">
        <v>159</v>
      </c>
      <c r="F10" s="94" t="s">
        <v>159</v>
      </c>
      <c r="G10" s="95" t="s">
        <v>163</v>
      </c>
      <c r="H10" s="97" t="s">
        <v>163</v>
      </c>
      <c r="I10" s="83"/>
      <c r="J10" s="69"/>
      <c r="K10" s="71"/>
      <c r="L10" s="71"/>
      <c r="M10" s="71"/>
      <c r="N10" s="71"/>
    </row>
    <row r="11">
      <c r="A11" s="41"/>
      <c r="B11" s="28"/>
      <c r="C11" s="99"/>
      <c r="D11" s="100"/>
      <c r="E11" s="101"/>
      <c r="F11" s="99"/>
      <c r="G11" s="100"/>
      <c r="H11" s="101"/>
      <c r="I11" s="83"/>
      <c r="J11" s="69"/>
      <c r="K11" s="71"/>
      <c r="L11" s="71"/>
      <c r="M11" s="71"/>
      <c r="N11" s="71"/>
    </row>
    <row r="12">
      <c r="A12" s="41"/>
      <c r="B12" s="84" t="s">
        <v>172</v>
      </c>
      <c r="C12" s="87" t="s">
        <v>176</v>
      </c>
      <c r="D12" s="90" t="s">
        <v>177</v>
      </c>
      <c r="E12" s="92" t="s">
        <v>153</v>
      </c>
      <c r="F12" s="87" t="s">
        <v>176</v>
      </c>
      <c r="G12" s="95" t="s">
        <v>136</v>
      </c>
      <c r="H12" s="105" t="s">
        <v>178</v>
      </c>
      <c r="I12" s="83"/>
      <c r="J12" s="69"/>
      <c r="K12" s="71"/>
      <c r="L12" s="71"/>
      <c r="M12" s="71"/>
      <c r="N12" s="71"/>
    </row>
    <row r="13">
      <c r="A13" s="41"/>
      <c r="B13" s="28"/>
      <c r="C13" s="99"/>
      <c r="D13" s="100"/>
      <c r="E13" s="101"/>
      <c r="F13" s="99"/>
      <c r="G13" s="100"/>
      <c r="H13" s="101"/>
      <c r="I13" s="27"/>
      <c r="J13" s="69"/>
      <c r="K13" s="69"/>
      <c r="L13" s="69"/>
      <c r="M13" s="69"/>
      <c r="N13" s="69"/>
    </row>
    <row r="14">
      <c r="A14" s="36"/>
      <c r="B14" s="36"/>
      <c r="C14" s="108"/>
      <c r="D14" s="108"/>
      <c r="E14" s="108"/>
      <c r="F14" s="108"/>
      <c r="G14" s="108"/>
      <c r="H14" s="108"/>
      <c r="I14" s="69"/>
      <c r="J14" s="69"/>
      <c r="K14" s="69"/>
      <c r="L14" s="69"/>
      <c r="M14" s="69"/>
      <c r="N14" s="69"/>
    </row>
    <row r="15">
      <c r="A15" s="41"/>
      <c r="B15" s="111" t="s">
        <v>187</v>
      </c>
      <c r="C15" s="61" t="s">
        <v>191</v>
      </c>
      <c r="D15" s="20"/>
      <c r="E15" s="23"/>
      <c r="F15" s="112" t="s">
        <v>196</v>
      </c>
      <c r="G15" s="20"/>
      <c r="H15" s="23"/>
      <c r="I15" s="113" t="s">
        <v>197</v>
      </c>
      <c r="J15" s="69"/>
      <c r="K15" s="69"/>
      <c r="L15" s="69"/>
      <c r="M15" s="69"/>
      <c r="N15" s="69"/>
    </row>
    <row r="16">
      <c r="A16" s="41"/>
      <c r="B16" s="27"/>
      <c r="C16" s="72">
        <v>46090.0</v>
      </c>
      <c r="D16" s="73">
        <v>46092.0</v>
      </c>
      <c r="E16" s="76">
        <v>46093.0</v>
      </c>
      <c r="F16" s="79">
        <v>46097.0</v>
      </c>
      <c r="G16" s="81">
        <v>46099.0</v>
      </c>
      <c r="H16" s="82">
        <v>46100.0</v>
      </c>
      <c r="I16" s="83"/>
      <c r="J16" s="69"/>
      <c r="K16" s="71"/>
      <c r="L16" s="71"/>
      <c r="M16" s="69"/>
      <c r="N16" s="69"/>
    </row>
    <row r="17">
      <c r="A17" s="41"/>
      <c r="B17" s="84" t="s">
        <v>152</v>
      </c>
      <c r="C17" s="87" t="s">
        <v>159</v>
      </c>
      <c r="D17" s="90" t="s">
        <v>163</v>
      </c>
      <c r="E17" s="92" t="s">
        <v>153</v>
      </c>
      <c r="F17" s="94" t="s">
        <v>153</v>
      </c>
      <c r="G17" s="95" t="s">
        <v>153</v>
      </c>
      <c r="H17" s="97" t="s">
        <v>136</v>
      </c>
      <c r="I17" s="83"/>
      <c r="J17" s="69"/>
      <c r="K17" s="69"/>
      <c r="L17" s="69"/>
      <c r="M17" s="69"/>
      <c r="N17" s="69"/>
    </row>
    <row r="18">
      <c r="A18" s="41"/>
      <c r="B18" s="28"/>
      <c r="C18" s="99"/>
      <c r="D18" s="100"/>
      <c r="E18" s="101"/>
      <c r="F18" s="99"/>
      <c r="G18" s="100"/>
      <c r="H18" s="101"/>
      <c r="I18" s="83"/>
      <c r="J18" s="69"/>
      <c r="K18" s="69"/>
      <c r="L18" s="69"/>
      <c r="M18" s="69"/>
      <c r="N18" s="69"/>
    </row>
    <row r="19">
      <c r="A19" s="41"/>
      <c r="B19" s="118" t="s">
        <v>172</v>
      </c>
      <c r="C19" s="87" t="s">
        <v>176</v>
      </c>
      <c r="D19" s="90" t="s">
        <v>177</v>
      </c>
      <c r="E19" s="87" t="s">
        <v>176</v>
      </c>
      <c r="F19" s="87" t="s">
        <v>176</v>
      </c>
      <c r="G19" s="95" t="s">
        <v>177</v>
      </c>
      <c r="H19" s="105" t="s">
        <v>178</v>
      </c>
      <c r="I19" s="83"/>
      <c r="J19" s="69"/>
      <c r="K19" s="69"/>
      <c r="L19" s="69"/>
      <c r="M19" s="69"/>
      <c r="N19" s="69"/>
    </row>
    <row r="20">
      <c r="A20" s="41"/>
      <c r="B20" s="27"/>
      <c r="C20" s="99"/>
      <c r="D20" s="100"/>
      <c r="E20" s="99"/>
      <c r="F20" s="99"/>
      <c r="G20" s="100"/>
      <c r="H20" s="101"/>
      <c r="I20" s="27"/>
      <c r="J20" s="69"/>
      <c r="K20" s="69"/>
      <c r="L20" s="69"/>
      <c r="M20" s="69"/>
      <c r="N20" s="69"/>
    </row>
    <row r="21">
      <c r="A21" s="36"/>
      <c r="B21" s="36"/>
      <c r="C21" s="108"/>
      <c r="D21" s="108"/>
      <c r="E21" s="108"/>
      <c r="F21" s="108"/>
      <c r="G21" s="108"/>
      <c r="H21" s="108"/>
      <c r="I21" s="69"/>
      <c r="J21" s="69"/>
      <c r="K21" s="69"/>
      <c r="L21" s="69"/>
      <c r="M21" s="69"/>
      <c r="N21" s="69"/>
    </row>
    <row r="22">
      <c r="A22" s="41"/>
      <c r="B22" s="123" t="s">
        <v>227</v>
      </c>
      <c r="C22" s="61" t="s">
        <v>232</v>
      </c>
      <c r="D22" s="20"/>
      <c r="E22" s="23"/>
      <c r="F22" s="112" t="s">
        <v>234</v>
      </c>
      <c r="G22" s="20"/>
      <c r="H22" s="23"/>
      <c r="I22" s="61" t="s">
        <v>239</v>
      </c>
      <c r="J22" s="20"/>
      <c r="K22" s="23"/>
      <c r="L22" s="124" t="s">
        <v>242</v>
      </c>
      <c r="M22" s="69"/>
      <c r="N22" s="69"/>
    </row>
    <row r="23">
      <c r="A23" s="41"/>
      <c r="B23" s="27"/>
      <c r="C23" s="72">
        <v>46104.0</v>
      </c>
      <c r="D23" s="73">
        <v>46106.0</v>
      </c>
      <c r="E23" s="76">
        <v>46107.0</v>
      </c>
      <c r="F23" s="79">
        <v>46111.0</v>
      </c>
      <c r="G23" s="81">
        <v>46113.0</v>
      </c>
      <c r="H23" s="82">
        <v>46114.0</v>
      </c>
      <c r="I23" s="125">
        <v>46118.0</v>
      </c>
      <c r="J23" s="73">
        <v>46120.0</v>
      </c>
      <c r="K23" s="76">
        <v>46121.0</v>
      </c>
      <c r="L23" s="83"/>
      <c r="M23" s="69"/>
      <c r="N23" s="69"/>
    </row>
    <row r="24">
      <c r="A24" s="41"/>
      <c r="B24" s="84" t="s">
        <v>152</v>
      </c>
      <c r="C24" s="87" t="s">
        <v>136</v>
      </c>
      <c r="D24" s="90" t="s">
        <v>153</v>
      </c>
      <c r="E24" s="92" t="s">
        <v>153</v>
      </c>
      <c r="F24" s="94" t="s">
        <v>153</v>
      </c>
      <c r="G24" s="95" t="s">
        <v>136</v>
      </c>
      <c r="H24" s="97" t="s">
        <v>179</v>
      </c>
      <c r="I24" s="130" t="s">
        <v>264</v>
      </c>
      <c r="J24" s="90" t="s">
        <v>149</v>
      </c>
      <c r="K24" s="92" t="s">
        <v>149</v>
      </c>
      <c r="L24" s="83"/>
      <c r="M24" s="69"/>
      <c r="N24" s="71"/>
    </row>
    <row r="25">
      <c r="A25" s="41"/>
      <c r="B25" s="28"/>
      <c r="C25" s="99"/>
      <c r="D25" s="100"/>
      <c r="E25" s="101"/>
      <c r="F25" s="99"/>
      <c r="G25" s="100"/>
      <c r="H25" s="101"/>
      <c r="I25" s="99"/>
      <c r="J25" s="100"/>
      <c r="K25" s="101"/>
      <c r="L25" s="83"/>
      <c r="M25" s="69"/>
      <c r="N25" s="71"/>
    </row>
    <row r="26">
      <c r="A26" s="41"/>
      <c r="B26" s="118" t="s">
        <v>172</v>
      </c>
      <c r="C26" s="87" t="s">
        <v>176</v>
      </c>
      <c r="D26" s="90" t="s">
        <v>178</v>
      </c>
      <c r="E26" s="87" t="s">
        <v>176</v>
      </c>
      <c r="F26" s="94" t="s">
        <v>205</v>
      </c>
      <c r="G26" s="95" t="s">
        <v>180</v>
      </c>
      <c r="H26" s="105" t="s">
        <v>205</v>
      </c>
      <c r="I26" s="135"/>
      <c r="J26" s="87" t="s">
        <v>176</v>
      </c>
      <c r="K26" s="87" t="s">
        <v>176</v>
      </c>
      <c r="L26" s="83"/>
      <c r="M26" s="69"/>
      <c r="N26" s="71"/>
    </row>
    <row r="27">
      <c r="A27" s="41"/>
      <c r="B27" s="27"/>
      <c r="C27" s="99"/>
      <c r="D27" s="100"/>
      <c r="E27" s="99"/>
      <c r="F27" s="99"/>
      <c r="G27" s="100"/>
      <c r="H27" s="101"/>
      <c r="I27" s="99"/>
      <c r="J27" s="99"/>
      <c r="K27" s="99"/>
      <c r="L27" s="27"/>
      <c r="M27" s="69"/>
      <c r="N27" s="71"/>
    </row>
    <row r="28">
      <c r="A28" s="1"/>
      <c r="B28" s="1"/>
      <c r="C28" s="108"/>
      <c r="D28" s="108"/>
      <c r="E28" s="108"/>
      <c r="F28" s="108"/>
      <c r="G28" s="108"/>
      <c r="H28" s="108"/>
      <c r="I28" s="69"/>
      <c r="J28" s="69"/>
      <c r="K28" s="69"/>
      <c r="L28" s="69"/>
      <c r="M28" s="69"/>
      <c r="N28" s="69"/>
    </row>
    <row r="29">
      <c r="A29" s="41"/>
      <c r="B29" s="137" t="s">
        <v>285</v>
      </c>
      <c r="C29" s="61" t="s">
        <v>286</v>
      </c>
      <c r="D29" s="20"/>
      <c r="E29" s="23"/>
      <c r="F29" s="112" t="s">
        <v>288</v>
      </c>
      <c r="G29" s="20"/>
      <c r="H29" s="23"/>
      <c r="I29" s="61" t="s">
        <v>289</v>
      </c>
      <c r="J29" s="20"/>
      <c r="K29" s="23"/>
      <c r="L29" s="138" t="s">
        <v>290</v>
      </c>
      <c r="M29" s="20"/>
      <c r="N29" s="23"/>
    </row>
    <row r="30">
      <c r="A30" s="41"/>
      <c r="B30" s="27"/>
      <c r="C30" s="72">
        <v>46125.0</v>
      </c>
      <c r="D30" s="73">
        <v>46127.0</v>
      </c>
      <c r="E30" s="76">
        <v>46128.0</v>
      </c>
      <c r="F30" s="79">
        <v>46132.0</v>
      </c>
      <c r="G30" s="81">
        <v>46134.0</v>
      </c>
      <c r="H30" s="82">
        <v>46135.0</v>
      </c>
      <c r="I30" s="72">
        <v>46139.0</v>
      </c>
      <c r="J30" s="73">
        <v>46141.0</v>
      </c>
      <c r="K30" s="76">
        <v>46142.0</v>
      </c>
      <c r="L30" s="79">
        <v>46146.0</v>
      </c>
      <c r="M30" s="81">
        <v>46148.0</v>
      </c>
      <c r="N30" s="82">
        <v>46149.0</v>
      </c>
    </row>
    <row r="31">
      <c r="A31" s="41"/>
      <c r="B31" s="84" t="s">
        <v>152</v>
      </c>
      <c r="C31" s="87" t="s">
        <v>179</v>
      </c>
      <c r="D31" s="90" t="s">
        <v>153</v>
      </c>
      <c r="E31" s="92" t="s">
        <v>153</v>
      </c>
      <c r="F31" s="94" t="s">
        <v>153</v>
      </c>
      <c r="G31" s="95" t="s">
        <v>149</v>
      </c>
      <c r="H31" s="97" t="s">
        <v>149</v>
      </c>
      <c r="I31" s="87" t="s">
        <v>159</v>
      </c>
      <c r="J31" s="87" t="s">
        <v>180</v>
      </c>
      <c r="K31" s="87" t="s">
        <v>180</v>
      </c>
      <c r="L31" s="87" t="s">
        <v>159</v>
      </c>
      <c r="M31" s="87" t="s">
        <v>180</v>
      </c>
      <c r="N31" s="87" t="s">
        <v>180</v>
      </c>
    </row>
    <row r="32">
      <c r="A32" s="41"/>
      <c r="B32" s="28"/>
      <c r="C32" s="99"/>
      <c r="D32" s="100"/>
      <c r="E32" s="101"/>
      <c r="F32" s="99"/>
      <c r="G32" s="100"/>
      <c r="H32" s="101"/>
      <c r="I32" s="99"/>
      <c r="J32" s="99"/>
      <c r="K32" s="99"/>
      <c r="L32" s="99"/>
      <c r="M32" s="99"/>
      <c r="N32" s="99"/>
    </row>
    <row r="33">
      <c r="A33" s="41"/>
      <c r="B33" s="118" t="s">
        <v>172</v>
      </c>
      <c r="C33" s="87" t="s">
        <v>145</v>
      </c>
      <c r="D33" s="90" t="s">
        <v>205</v>
      </c>
      <c r="E33" s="92" t="s">
        <v>205</v>
      </c>
      <c r="F33" s="94" t="s">
        <v>145</v>
      </c>
      <c r="G33" s="95" t="s">
        <v>205</v>
      </c>
      <c r="H33" s="105" t="s">
        <v>205</v>
      </c>
      <c r="I33" s="87" t="s">
        <v>179</v>
      </c>
      <c r="J33" s="90" t="s">
        <v>153</v>
      </c>
      <c r="K33" s="92" t="s">
        <v>153</v>
      </c>
      <c r="L33" s="94" t="s">
        <v>153</v>
      </c>
      <c r="M33" s="95" t="s">
        <v>153</v>
      </c>
      <c r="N33" s="105" t="s">
        <v>179</v>
      </c>
    </row>
    <row r="34">
      <c r="A34" s="41"/>
      <c r="B34" s="27"/>
      <c r="C34" s="99"/>
      <c r="D34" s="100"/>
      <c r="E34" s="101"/>
      <c r="F34" s="99"/>
      <c r="G34" s="100"/>
      <c r="H34" s="101"/>
      <c r="I34" s="99"/>
      <c r="J34" s="100"/>
      <c r="K34" s="101"/>
      <c r="L34" s="99"/>
      <c r="M34" s="100"/>
      <c r="N34" s="10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>
      <c r="B36" s="143"/>
      <c r="C36" s="144" t="s">
        <v>301</v>
      </c>
      <c r="D36" s="20"/>
      <c r="E36" s="23"/>
      <c r="F36" s="145" t="s">
        <v>302</v>
      </c>
      <c r="G36" s="20"/>
      <c r="H36" s="23"/>
      <c r="I36" s="144" t="s">
        <v>303</v>
      </c>
      <c r="J36" s="20"/>
      <c r="K36" s="23"/>
      <c r="L36" s="146" t="s">
        <v>304</v>
      </c>
      <c r="M36" s="147"/>
      <c r="N36" s="147"/>
    </row>
    <row r="37">
      <c r="B37" s="27"/>
      <c r="C37" s="148">
        <v>46153.0</v>
      </c>
      <c r="D37" s="149">
        <v>46155.0</v>
      </c>
      <c r="E37" s="150">
        <v>46157.0</v>
      </c>
      <c r="F37" s="148">
        <v>46160.0</v>
      </c>
      <c r="G37" s="149">
        <v>46162.0</v>
      </c>
      <c r="H37" s="150">
        <v>46163.0</v>
      </c>
      <c r="I37" s="148">
        <v>46167.0</v>
      </c>
      <c r="J37" s="149">
        <v>46169.0</v>
      </c>
      <c r="K37" s="150">
        <v>46170.0</v>
      </c>
      <c r="L37" s="83"/>
      <c r="M37" s="152"/>
      <c r="N37" s="152"/>
    </row>
    <row r="38">
      <c r="B38" s="84" t="s">
        <v>152</v>
      </c>
      <c r="C38" s="87" t="s">
        <v>159</v>
      </c>
      <c r="D38" s="87" t="s">
        <v>180</v>
      </c>
      <c r="E38" s="87" t="s">
        <v>180</v>
      </c>
      <c r="F38" s="87" t="s">
        <v>159</v>
      </c>
      <c r="G38" s="87" t="s">
        <v>180</v>
      </c>
      <c r="H38" s="153" t="s">
        <v>149</v>
      </c>
      <c r="I38" s="87" t="s">
        <v>180</v>
      </c>
      <c r="J38" s="87" t="s">
        <v>180</v>
      </c>
      <c r="K38" s="155" t="s">
        <v>149</v>
      </c>
      <c r="L38" s="83"/>
      <c r="M38" s="41"/>
      <c r="N38" s="157"/>
    </row>
    <row r="39">
      <c r="B39" s="28"/>
      <c r="C39" s="99"/>
      <c r="D39" s="99"/>
      <c r="E39" s="99"/>
      <c r="F39" s="99"/>
      <c r="G39" s="99"/>
      <c r="H39" s="101"/>
      <c r="I39" s="99"/>
      <c r="J39" s="99"/>
      <c r="K39" s="101"/>
      <c r="L39" s="83"/>
    </row>
    <row r="40">
      <c r="B40" s="118" t="s">
        <v>172</v>
      </c>
      <c r="C40" s="158" t="s">
        <v>179</v>
      </c>
      <c r="D40" s="159" t="s">
        <v>179</v>
      </c>
      <c r="E40" s="155" t="s">
        <v>179</v>
      </c>
      <c r="F40" s="161"/>
      <c r="G40" s="162"/>
      <c r="H40" s="163"/>
      <c r="I40" s="164"/>
      <c r="J40" s="167"/>
      <c r="K40" s="168"/>
      <c r="L40" s="83"/>
      <c r="M40" s="41"/>
      <c r="N40" s="41"/>
    </row>
    <row r="41">
      <c r="B41" s="27"/>
      <c r="C41" s="99"/>
      <c r="D41" s="100"/>
      <c r="E41" s="101"/>
      <c r="F41" s="99"/>
      <c r="G41" s="100"/>
      <c r="H41" s="101"/>
      <c r="I41" s="99"/>
      <c r="J41" s="100"/>
      <c r="K41" s="101"/>
      <c r="L41" s="27"/>
    </row>
  </sheetData>
  <mergeCells count="128">
    <mergeCell ref="F19:F20"/>
    <mergeCell ref="G19:G20"/>
    <mergeCell ref="F12:F13"/>
    <mergeCell ref="G12:G13"/>
    <mergeCell ref="F15:H15"/>
    <mergeCell ref="I15:I20"/>
    <mergeCell ref="F17:F18"/>
    <mergeCell ref="G17:G18"/>
    <mergeCell ref="H17:H18"/>
    <mergeCell ref="H19:H20"/>
    <mergeCell ref="K26:K27"/>
    <mergeCell ref="I29:K29"/>
    <mergeCell ref="L29:N29"/>
    <mergeCell ref="I22:K22"/>
    <mergeCell ref="L22:L27"/>
    <mergeCell ref="I24:I25"/>
    <mergeCell ref="J24:J25"/>
    <mergeCell ref="K24:K25"/>
    <mergeCell ref="I26:I27"/>
    <mergeCell ref="J26:J27"/>
    <mergeCell ref="B2:B3"/>
    <mergeCell ref="D2:I3"/>
    <mergeCell ref="K4:N4"/>
    <mergeCell ref="E5:G5"/>
    <mergeCell ref="K5:N5"/>
    <mergeCell ref="E6:G6"/>
    <mergeCell ref="K6:O6"/>
    <mergeCell ref="E10:E11"/>
    <mergeCell ref="F10:F11"/>
    <mergeCell ref="G10:G11"/>
    <mergeCell ref="H10:H11"/>
    <mergeCell ref="D12:D13"/>
    <mergeCell ref="E12:E13"/>
    <mergeCell ref="C15:E15"/>
    <mergeCell ref="B8:B9"/>
    <mergeCell ref="C8:E8"/>
    <mergeCell ref="F8:H8"/>
    <mergeCell ref="I8:I13"/>
    <mergeCell ref="B10:B11"/>
    <mergeCell ref="C10:C11"/>
    <mergeCell ref="D10:D11"/>
    <mergeCell ref="H12:H13"/>
    <mergeCell ref="B26:B27"/>
    <mergeCell ref="C26:C27"/>
    <mergeCell ref="D26:D27"/>
    <mergeCell ref="E26:E27"/>
    <mergeCell ref="F26:F27"/>
    <mergeCell ref="G26:G27"/>
    <mergeCell ref="H26:H27"/>
    <mergeCell ref="B12:B13"/>
    <mergeCell ref="C12:C13"/>
    <mergeCell ref="B15:B16"/>
    <mergeCell ref="B17:B18"/>
    <mergeCell ref="C17:C18"/>
    <mergeCell ref="D17:D18"/>
    <mergeCell ref="E17:E18"/>
    <mergeCell ref="E38:E39"/>
    <mergeCell ref="F38:F39"/>
    <mergeCell ref="G38:G39"/>
    <mergeCell ref="H38:H39"/>
    <mergeCell ref="I38:I39"/>
    <mergeCell ref="J38:J39"/>
    <mergeCell ref="B36:B37"/>
    <mergeCell ref="C36:E36"/>
    <mergeCell ref="F36:H36"/>
    <mergeCell ref="I36:K36"/>
    <mergeCell ref="B38:B39"/>
    <mergeCell ref="C38:C39"/>
    <mergeCell ref="D38:D39"/>
    <mergeCell ref="K38:K39"/>
    <mergeCell ref="G40:G41"/>
    <mergeCell ref="H40:H41"/>
    <mergeCell ref="I40:I41"/>
    <mergeCell ref="J40:J41"/>
    <mergeCell ref="M38:M39"/>
    <mergeCell ref="M40:M41"/>
    <mergeCell ref="N38:N39"/>
    <mergeCell ref="B40:B41"/>
    <mergeCell ref="C40:C41"/>
    <mergeCell ref="D40:D41"/>
    <mergeCell ref="E40:E41"/>
    <mergeCell ref="F40:F41"/>
    <mergeCell ref="K40:K41"/>
    <mergeCell ref="N40:N41"/>
    <mergeCell ref="B19:B20"/>
    <mergeCell ref="C19:C20"/>
    <mergeCell ref="D19:D20"/>
    <mergeCell ref="E19:E20"/>
    <mergeCell ref="B22:B23"/>
    <mergeCell ref="C22:E22"/>
    <mergeCell ref="F22:H22"/>
    <mergeCell ref="B24:B25"/>
    <mergeCell ref="C24:C25"/>
    <mergeCell ref="D24:D25"/>
    <mergeCell ref="E24:E25"/>
    <mergeCell ref="F24:F25"/>
    <mergeCell ref="G24:G25"/>
    <mergeCell ref="H24:H25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B29:B30"/>
    <mergeCell ref="C29:E29"/>
    <mergeCell ref="F29:H29"/>
    <mergeCell ref="B31:B32"/>
    <mergeCell ref="C31:C32"/>
    <mergeCell ref="D31:D32"/>
    <mergeCell ref="E31:E32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L36:L41"/>
  </mergeCells>
  <hyperlinks>
    <hyperlink r:id="rId1" ref="E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13"/>
    <col customWidth="1" min="3" max="3" width="38.5"/>
    <col customWidth="1" min="4" max="4" width="23.0"/>
  </cols>
  <sheetData>
    <row r="1">
      <c r="A1" s="49" t="s">
        <v>200</v>
      </c>
      <c r="B1" s="115" t="s">
        <v>202</v>
      </c>
      <c r="C1" s="115" t="s">
        <v>203</v>
      </c>
      <c r="D1" s="22" t="s">
        <v>204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</row>
    <row r="2">
      <c r="A2" s="22" t="s">
        <v>209</v>
      </c>
      <c r="B2" s="117" t="s">
        <v>145</v>
      </c>
      <c r="C2" s="119" t="s">
        <v>210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>
      <c r="A3" s="22" t="s">
        <v>170</v>
      </c>
      <c r="B3" s="117" t="s">
        <v>137</v>
      </c>
      <c r="C3" s="119" t="s">
        <v>211</v>
      </c>
      <c r="D3" s="121" t="s">
        <v>212</v>
      </c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</row>
    <row r="4">
      <c r="A4" s="22" t="s">
        <v>215</v>
      </c>
      <c r="B4" s="117" t="s">
        <v>217</v>
      </c>
      <c r="C4" s="119" t="s">
        <v>219</v>
      </c>
      <c r="D4" s="121" t="s">
        <v>220</v>
      </c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>
      <c r="A5" s="22" t="s">
        <v>229</v>
      </c>
      <c r="B5" s="117" t="s">
        <v>169</v>
      </c>
      <c r="C5" s="119" t="s">
        <v>230</v>
      </c>
      <c r="D5" s="121" t="s">
        <v>212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>
      <c r="A6" s="22" t="s">
        <v>236</v>
      </c>
      <c r="B6" s="117" t="s">
        <v>238</v>
      </c>
      <c r="C6" s="119" t="s">
        <v>241</v>
      </c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</row>
    <row r="7">
      <c r="A7" s="22" t="s">
        <v>245</v>
      </c>
      <c r="B7" s="117" t="s">
        <v>181</v>
      </c>
      <c r="C7" s="119" t="s">
        <v>246</v>
      </c>
      <c r="D7" s="121" t="s">
        <v>248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</row>
    <row r="8">
      <c r="A8" s="22" t="s">
        <v>251</v>
      </c>
      <c r="B8" s="117" t="s">
        <v>155</v>
      </c>
      <c r="C8" s="119" t="s">
        <v>252</v>
      </c>
      <c r="D8" s="121" t="s">
        <v>253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</row>
    <row r="9">
      <c r="A9" s="22" t="s">
        <v>257</v>
      </c>
      <c r="B9" s="24" t="s">
        <v>145</v>
      </c>
      <c r="C9" s="119" t="s">
        <v>259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>
      <c r="A10" s="22" t="s">
        <v>262</v>
      </c>
      <c r="B10" s="117" t="s">
        <v>263</v>
      </c>
      <c r="C10" s="119" t="s">
        <v>265</v>
      </c>
      <c r="D10" s="22" t="s">
        <v>220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>
      <c r="A11" s="131" t="s">
        <v>269</v>
      </c>
      <c r="B11" s="24" t="s">
        <v>179</v>
      </c>
      <c r="C11" s="132" t="s">
        <v>271</v>
      </c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>
      <c r="A12" s="116"/>
      <c r="B12" s="133"/>
      <c r="C12" s="133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>
      <c r="A13" s="116"/>
      <c r="B13" s="133"/>
      <c r="C13" s="133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</row>
    <row r="14">
      <c r="A14" s="116"/>
      <c r="B14" s="133"/>
      <c r="C14" s="133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</row>
    <row r="15">
      <c r="A15" s="116"/>
      <c r="B15" s="133"/>
      <c r="C15" s="133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</row>
    <row r="16">
      <c r="A16" s="116"/>
      <c r="B16" s="133"/>
      <c r="C16" s="133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</row>
    <row r="17">
      <c r="A17" s="116"/>
      <c r="B17" s="133"/>
      <c r="C17" s="133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</row>
    <row r="18">
      <c r="A18" s="116"/>
      <c r="B18" s="133"/>
      <c r="C18" s="133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</row>
    <row r="19">
      <c r="A19" s="116"/>
      <c r="B19" s="133"/>
      <c r="C19" s="133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</row>
    <row r="20">
      <c r="A20" s="116"/>
      <c r="B20" s="133"/>
      <c r="C20" s="133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</row>
    <row r="21">
      <c r="A21" s="116"/>
      <c r="B21" s="133"/>
      <c r="C21" s="133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</row>
    <row r="22">
      <c r="A22" s="116"/>
      <c r="B22" s="133"/>
      <c r="C22" s="133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</row>
    <row r="23">
      <c r="A23" s="116"/>
      <c r="B23" s="133"/>
      <c r="C23" s="133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>
      <c r="A24" s="116"/>
      <c r="B24" s="133"/>
      <c r="C24" s="133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>
      <c r="A25" s="116"/>
      <c r="B25" s="133"/>
      <c r="C25" s="133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>
      <c r="A26" s="116"/>
      <c r="B26" s="133"/>
      <c r="C26" s="133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>
      <c r="A27" s="116"/>
      <c r="B27" s="133"/>
      <c r="C27" s="133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>
      <c r="A28" s="116"/>
      <c r="B28" s="133"/>
      <c r="C28" s="133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</row>
    <row r="29">
      <c r="A29" s="116"/>
      <c r="B29" s="133"/>
      <c r="C29" s="133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>
      <c r="A30" s="116"/>
      <c r="B30" s="133"/>
      <c r="C30" s="133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>
      <c r="A31" s="116"/>
      <c r="B31" s="133"/>
      <c r="C31" s="133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>
      <c r="A32" s="116"/>
      <c r="B32" s="133"/>
      <c r="C32" s="133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>
      <c r="A33" s="116"/>
      <c r="B33" s="133"/>
      <c r="C33" s="133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>
      <c r="A34" s="116"/>
      <c r="B34" s="133"/>
      <c r="C34" s="133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>
      <c r="A35" s="116"/>
      <c r="B35" s="133"/>
      <c r="C35" s="133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>
      <c r="A36" s="116"/>
      <c r="B36" s="133"/>
      <c r="C36" s="133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>
      <c r="A37" s="116"/>
      <c r="B37" s="133"/>
      <c r="C37" s="133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>
      <c r="A38" s="116"/>
      <c r="B38" s="133"/>
      <c r="C38" s="133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>
      <c r="A39" s="116"/>
      <c r="B39" s="133"/>
      <c r="C39" s="133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>
      <c r="A40" s="116"/>
      <c r="B40" s="133"/>
      <c r="C40" s="133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</row>
    <row r="41">
      <c r="A41" s="116"/>
      <c r="B41" s="133"/>
      <c r="C41" s="133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</row>
    <row r="42">
      <c r="A42" s="116"/>
      <c r="B42" s="133"/>
      <c r="C42" s="133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</row>
    <row r="43">
      <c r="A43" s="116"/>
      <c r="B43" s="133"/>
      <c r="C43" s="133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</row>
    <row r="44">
      <c r="A44" s="116"/>
      <c r="B44" s="133"/>
      <c r="C44" s="133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</row>
    <row r="45">
      <c r="A45" s="116"/>
      <c r="B45" s="133"/>
      <c r="C45" s="133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</row>
    <row r="46">
      <c r="A46" s="116"/>
      <c r="B46" s="133"/>
      <c r="C46" s="133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</row>
    <row r="47">
      <c r="A47" s="116"/>
      <c r="B47" s="133"/>
      <c r="C47" s="133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</row>
    <row r="48">
      <c r="A48" s="116"/>
      <c r="B48" s="133"/>
      <c r="C48" s="133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</row>
    <row r="49">
      <c r="A49" s="116"/>
      <c r="B49" s="133"/>
      <c r="C49" s="133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</row>
    <row r="50">
      <c r="A50" s="116"/>
      <c r="B50" s="133"/>
      <c r="C50" s="133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</row>
    <row r="51">
      <c r="A51" s="116"/>
      <c r="B51" s="133"/>
      <c r="C51" s="133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</row>
    <row r="52">
      <c r="A52" s="116"/>
      <c r="B52" s="133"/>
      <c r="C52" s="133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</row>
    <row r="53">
      <c r="A53" s="116"/>
      <c r="B53" s="133"/>
      <c r="C53" s="133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</row>
    <row r="54">
      <c r="A54" s="116"/>
      <c r="B54" s="133"/>
      <c r="C54" s="133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</row>
    <row r="55">
      <c r="A55" s="116"/>
      <c r="B55" s="133"/>
      <c r="C55" s="133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</row>
    <row r="56">
      <c r="A56" s="116"/>
      <c r="B56" s="133"/>
      <c r="C56" s="133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</row>
    <row r="57">
      <c r="A57" s="116"/>
      <c r="B57" s="133"/>
      <c r="C57" s="133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</row>
    <row r="58">
      <c r="A58" s="116"/>
      <c r="B58" s="133"/>
      <c r="C58" s="133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</row>
    <row r="59">
      <c r="A59" s="116"/>
      <c r="B59" s="133"/>
      <c r="C59" s="133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</row>
    <row r="60">
      <c r="A60" s="116"/>
      <c r="B60" s="133"/>
      <c r="C60" s="133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</row>
    <row r="61">
      <c r="A61" s="116"/>
      <c r="B61" s="133"/>
      <c r="C61" s="133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</row>
    <row r="62">
      <c r="A62" s="116"/>
      <c r="B62" s="133"/>
      <c r="C62" s="133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</row>
    <row r="63">
      <c r="A63" s="116"/>
      <c r="B63" s="133"/>
      <c r="C63" s="133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</row>
    <row r="64">
      <c r="A64" s="116"/>
      <c r="B64" s="133"/>
      <c r="C64" s="133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</row>
    <row r="65">
      <c r="A65" s="116"/>
      <c r="B65" s="133"/>
      <c r="C65" s="133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</row>
    <row r="66">
      <c r="A66" s="116"/>
      <c r="B66" s="133"/>
      <c r="C66" s="133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</row>
    <row r="67">
      <c r="A67" s="116"/>
      <c r="B67" s="133"/>
      <c r="C67" s="133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</row>
    <row r="68">
      <c r="A68" s="116"/>
      <c r="B68" s="133"/>
      <c r="C68" s="133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</row>
    <row r="69">
      <c r="A69" s="116"/>
      <c r="B69" s="133"/>
      <c r="C69" s="133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</row>
    <row r="70">
      <c r="A70" s="116"/>
      <c r="B70" s="133"/>
      <c r="C70" s="133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</row>
    <row r="71">
      <c r="A71" s="116"/>
      <c r="B71" s="133"/>
      <c r="C71" s="133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>
      <c r="A72" s="116"/>
      <c r="B72" s="133"/>
      <c r="C72" s="133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</row>
    <row r="73">
      <c r="A73" s="116"/>
      <c r="B73" s="133"/>
      <c r="C73" s="133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</row>
    <row r="74">
      <c r="A74" s="116"/>
      <c r="B74" s="133"/>
      <c r="C74" s="133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</row>
    <row r="75">
      <c r="A75" s="116"/>
      <c r="B75" s="133"/>
      <c r="C75" s="133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</row>
    <row r="76">
      <c r="A76" s="116"/>
      <c r="B76" s="133"/>
      <c r="C76" s="133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</row>
    <row r="77">
      <c r="A77" s="116"/>
      <c r="B77" s="133"/>
      <c r="C77" s="133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</row>
    <row r="78">
      <c r="A78" s="116"/>
      <c r="B78" s="133"/>
      <c r="C78" s="133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</row>
    <row r="79">
      <c r="A79" s="116"/>
      <c r="B79" s="133"/>
      <c r="C79" s="133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</row>
    <row r="80">
      <c r="A80" s="116"/>
      <c r="B80" s="133"/>
      <c r="C80" s="133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</row>
    <row r="81">
      <c r="A81" s="116"/>
      <c r="B81" s="133"/>
      <c r="C81" s="133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</row>
    <row r="82">
      <c r="A82" s="116"/>
      <c r="B82" s="133"/>
      <c r="C82" s="133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</row>
    <row r="83">
      <c r="A83" s="116"/>
      <c r="B83" s="133"/>
      <c r="C83" s="133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</row>
    <row r="84">
      <c r="A84" s="116"/>
      <c r="B84" s="133"/>
      <c r="C84" s="133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</row>
    <row r="85">
      <c r="A85" s="116"/>
      <c r="B85" s="133"/>
      <c r="C85" s="133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</row>
    <row r="86">
      <c r="A86" s="116"/>
      <c r="B86" s="133"/>
      <c r="C86" s="133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</row>
    <row r="87">
      <c r="A87" s="116"/>
      <c r="B87" s="133"/>
      <c r="C87" s="133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</row>
    <row r="88">
      <c r="A88" s="116"/>
      <c r="B88" s="133"/>
      <c r="C88" s="133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</row>
    <row r="89">
      <c r="A89" s="116"/>
      <c r="B89" s="133"/>
      <c r="C89" s="133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</row>
    <row r="90">
      <c r="A90" s="116"/>
      <c r="B90" s="133"/>
      <c r="C90" s="133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</row>
    <row r="91">
      <c r="A91" s="116"/>
      <c r="B91" s="133"/>
      <c r="C91" s="133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</row>
    <row r="92">
      <c r="A92" s="116"/>
      <c r="B92" s="133"/>
      <c r="C92" s="133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</row>
    <row r="93">
      <c r="A93" s="116"/>
      <c r="B93" s="133"/>
      <c r="C93" s="133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</row>
    <row r="94">
      <c r="A94" s="116"/>
      <c r="B94" s="133"/>
      <c r="C94" s="133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</row>
    <row r="95">
      <c r="A95" s="116"/>
      <c r="B95" s="133"/>
      <c r="C95" s="133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</row>
    <row r="96">
      <c r="A96" s="116"/>
      <c r="B96" s="133"/>
      <c r="C96" s="133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</row>
    <row r="97">
      <c r="A97" s="116"/>
      <c r="B97" s="133"/>
      <c r="C97" s="133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</row>
    <row r="98">
      <c r="A98" s="116"/>
      <c r="B98" s="133"/>
      <c r="C98" s="133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</row>
    <row r="99">
      <c r="A99" s="116"/>
      <c r="B99" s="133"/>
      <c r="C99" s="133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</row>
    <row r="100">
      <c r="A100" s="116"/>
      <c r="B100" s="133"/>
      <c r="C100" s="133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</row>
    <row r="101">
      <c r="A101" s="116"/>
      <c r="B101" s="133"/>
      <c r="C101" s="133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</row>
    <row r="102">
      <c r="A102" s="116"/>
      <c r="B102" s="133"/>
      <c r="C102" s="133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</row>
    <row r="103">
      <c r="A103" s="116"/>
      <c r="B103" s="133"/>
      <c r="C103" s="133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>
      <c r="A104" s="116"/>
      <c r="B104" s="133"/>
      <c r="C104" s="133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</row>
    <row r="105">
      <c r="A105" s="116"/>
      <c r="B105" s="133"/>
      <c r="C105" s="133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</row>
    <row r="106">
      <c r="A106" s="116"/>
      <c r="B106" s="133"/>
      <c r="C106" s="133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</row>
    <row r="107">
      <c r="A107" s="116"/>
      <c r="B107" s="133"/>
      <c r="C107" s="133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</row>
    <row r="108">
      <c r="A108" s="116"/>
      <c r="B108" s="133"/>
      <c r="C108" s="133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</row>
    <row r="109">
      <c r="A109" s="116"/>
      <c r="B109" s="133"/>
      <c r="C109" s="133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</row>
    <row r="110">
      <c r="A110" s="116"/>
      <c r="B110" s="133"/>
      <c r="C110" s="133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</row>
    <row r="111">
      <c r="A111" s="116"/>
      <c r="B111" s="133"/>
      <c r="C111" s="133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</row>
    <row r="112">
      <c r="A112" s="116"/>
      <c r="B112" s="133"/>
      <c r="C112" s="133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</row>
    <row r="113">
      <c r="A113" s="116"/>
      <c r="B113" s="133"/>
      <c r="C113" s="133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</row>
    <row r="114">
      <c r="A114" s="116"/>
      <c r="B114" s="133"/>
      <c r="C114" s="133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</row>
    <row r="115">
      <c r="A115" s="116"/>
      <c r="B115" s="133"/>
      <c r="C115" s="133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</row>
    <row r="116">
      <c r="A116" s="116"/>
      <c r="B116" s="133"/>
      <c r="C116" s="133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</row>
    <row r="117">
      <c r="A117" s="116"/>
      <c r="B117" s="133"/>
      <c r="C117" s="133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</row>
    <row r="118">
      <c r="A118" s="116"/>
      <c r="B118" s="133"/>
      <c r="C118" s="133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</row>
    <row r="119">
      <c r="A119" s="116"/>
      <c r="B119" s="133"/>
      <c r="C119" s="133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</row>
    <row r="120">
      <c r="A120" s="116"/>
      <c r="B120" s="133"/>
      <c r="C120" s="133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</row>
    <row r="121">
      <c r="A121" s="116"/>
      <c r="B121" s="133"/>
      <c r="C121" s="133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</row>
    <row r="122">
      <c r="A122" s="116"/>
      <c r="B122" s="133"/>
      <c r="C122" s="133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</row>
    <row r="123">
      <c r="A123" s="116"/>
      <c r="B123" s="133"/>
      <c r="C123" s="133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</row>
    <row r="124">
      <c r="A124" s="116"/>
      <c r="B124" s="133"/>
      <c r="C124" s="133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</row>
    <row r="125">
      <c r="A125" s="116"/>
      <c r="B125" s="133"/>
      <c r="C125" s="133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</row>
    <row r="126">
      <c r="A126" s="116"/>
      <c r="B126" s="133"/>
      <c r="C126" s="133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</row>
    <row r="127">
      <c r="A127" s="116"/>
      <c r="B127" s="133"/>
      <c r="C127" s="133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</row>
    <row r="128">
      <c r="A128" s="116"/>
      <c r="B128" s="133"/>
      <c r="C128" s="133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</row>
    <row r="129">
      <c r="A129" s="116"/>
      <c r="B129" s="133"/>
      <c r="C129" s="133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>
      <c r="A130" s="116"/>
      <c r="B130" s="133"/>
      <c r="C130" s="133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>
      <c r="A131" s="116"/>
      <c r="B131" s="133"/>
      <c r="C131" s="133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>
      <c r="A132" s="116"/>
      <c r="B132" s="133"/>
      <c r="C132" s="133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>
      <c r="A133" s="116"/>
      <c r="B133" s="133"/>
      <c r="C133" s="133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>
      <c r="A134" s="116"/>
      <c r="B134" s="133"/>
      <c r="C134" s="133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>
      <c r="A135" s="116"/>
      <c r="B135" s="133"/>
      <c r="C135" s="133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>
      <c r="A136" s="116"/>
      <c r="B136" s="133"/>
      <c r="C136" s="133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>
      <c r="A137" s="116"/>
      <c r="B137" s="133"/>
      <c r="C137" s="133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>
      <c r="A138" s="116"/>
      <c r="B138" s="133"/>
      <c r="C138" s="133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>
      <c r="A139" s="116"/>
      <c r="B139" s="133"/>
      <c r="C139" s="133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>
      <c r="A140" s="116"/>
      <c r="B140" s="133"/>
      <c r="C140" s="133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>
      <c r="A141" s="116"/>
      <c r="B141" s="133"/>
      <c r="C141" s="133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>
      <c r="A142" s="116"/>
      <c r="B142" s="133"/>
      <c r="C142" s="133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>
      <c r="A143" s="116"/>
      <c r="B143" s="133"/>
      <c r="C143" s="133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>
      <c r="A144" s="116"/>
      <c r="B144" s="133"/>
      <c r="C144" s="133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>
      <c r="A145" s="116"/>
      <c r="B145" s="133"/>
      <c r="C145" s="133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>
      <c r="A146" s="116"/>
      <c r="B146" s="133"/>
      <c r="C146" s="133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>
      <c r="A147" s="116"/>
      <c r="B147" s="133"/>
      <c r="C147" s="133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>
      <c r="A148" s="116"/>
      <c r="B148" s="133"/>
      <c r="C148" s="133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>
      <c r="A149" s="116"/>
      <c r="B149" s="133"/>
      <c r="C149" s="133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>
      <c r="A150" s="116"/>
      <c r="B150" s="133"/>
      <c r="C150" s="133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>
      <c r="A151" s="116"/>
      <c r="B151" s="133"/>
      <c r="C151" s="133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>
      <c r="A152" s="116"/>
      <c r="B152" s="133"/>
      <c r="C152" s="133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>
      <c r="A153" s="116"/>
      <c r="B153" s="133"/>
      <c r="C153" s="133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>
      <c r="A154" s="116"/>
      <c r="B154" s="133"/>
      <c r="C154" s="133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>
      <c r="A155" s="116"/>
      <c r="B155" s="133"/>
      <c r="C155" s="133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>
      <c r="A156" s="116"/>
      <c r="B156" s="133"/>
      <c r="C156" s="133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>
      <c r="A157" s="116"/>
      <c r="B157" s="133"/>
      <c r="C157" s="133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>
      <c r="A158" s="116"/>
      <c r="B158" s="133"/>
      <c r="C158" s="133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>
      <c r="A159" s="116"/>
      <c r="B159" s="133"/>
      <c r="C159" s="133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>
      <c r="A160" s="116"/>
      <c r="B160" s="133"/>
      <c r="C160" s="133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>
      <c r="A161" s="116"/>
      <c r="B161" s="133"/>
      <c r="C161" s="133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>
      <c r="A162" s="116"/>
      <c r="B162" s="133"/>
      <c r="C162" s="133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>
      <c r="A163" s="116"/>
      <c r="B163" s="133"/>
      <c r="C163" s="133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>
      <c r="A164" s="116"/>
      <c r="B164" s="133"/>
      <c r="C164" s="133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>
      <c r="A165" s="116"/>
      <c r="B165" s="133"/>
      <c r="C165" s="133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>
      <c r="A166" s="116"/>
      <c r="B166" s="133"/>
      <c r="C166" s="133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>
      <c r="A167" s="116"/>
      <c r="B167" s="133"/>
      <c r="C167" s="133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>
      <c r="A168" s="116"/>
      <c r="B168" s="133"/>
      <c r="C168" s="133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>
      <c r="A169" s="116"/>
      <c r="B169" s="133"/>
      <c r="C169" s="133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>
      <c r="A170" s="116"/>
      <c r="B170" s="133"/>
      <c r="C170" s="133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>
      <c r="A171" s="116"/>
      <c r="B171" s="133"/>
      <c r="C171" s="133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>
      <c r="A172" s="116"/>
      <c r="B172" s="133"/>
      <c r="C172" s="133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>
      <c r="A173" s="116"/>
      <c r="B173" s="133"/>
      <c r="C173" s="133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>
      <c r="A174" s="116"/>
      <c r="B174" s="133"/>
      <c r="C174" s="133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>
      <c r="A175" s="116"/>
      <c r="B175" s="133"/>
      <c r="C175" s="133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>
      <c r="A176" s="116"/>
      <c r="B176" s="133"/>
      <c r="C176" s="133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>
      <c r="A177" s="116"/>
      <c r="B177" s="133"/>
      <c r="C177" s="133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>
      <c r="A178" s="116"/>
      <c r="B178" s="133"/>
      <c r="C178" s="133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>
      <c r="A179" s="116"/>
      <c r="B179" s="133"/>
      <c r="C179" s="133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>
      <c r="A180" s="116"/>
      <c r="B180" s="133"/>
      <c r="C180" s="133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>
      <c r="A181" s="116"/>
      <c r="B181" s="133"/>
      <c r="C181" s="133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>
      <c r="A182" s="116"/>
      <c r="B182" s="133"/>
      <c r="C182" s="133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>
      <c r="A183" s="116"/>
      <c r="B183" s="133"/>
      <c r="C183" s="133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>
      <c r="A184" s="116"/>
      <c r="B184" s="133"/>
      <c r="C184" s="133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>
      <c r="A185" s="116"/>
      <c r="B185" s="133"/>
      <c r="C185" s="133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>
      <c r="A186" s="116"/>
      <c r="B186" s="133"/>
      <c r="C186" s="133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>
      <c r="A187" s="116"/>
      <c r="B187" s="133"/>
      <c r="C187" s="133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>
      <c r="A188" s="116"/>
      <c r="B188" s="133"/>
      <c r="C188" s="133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>
      <c r="A189" s="116"/>
      <c r="B189" s="133"/>
      <c r="C189" s="133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>
      <c r="A190" s="116"/>
      <c r="B190" s="133"/>
      <c r="C190" s="133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>
      <c r="A191" s="116"/>
      <c r="B191" s="133"/>
      <c r="C191" s="133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>
      <c r="A192" s="116"/>
      <c r="B192" s="133"/>
      <c r="C192" s="133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>
      <c r="A193" s="116"/>
      <c r="B193" s="133"/>
      <c r="C193" s="133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>
      <c r="A194" s="116"/>
      <c r="B194" s="133"/>
      <c r="C194" s="133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>
      <c r="A195" s="116"/>
      <c r="B195" s="133"/>
      <c r="C195" s="133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>
      <c r="A196" s="116"/>
      <c r="B196" s="133"/>
      <c r="C196" s="133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>
      <c r="A197" s="116"/>
      <c r="B197" s="133"/>
      <c r="C197" s="133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>
      <c r="A198" s="116"/>
      <c r="B198" s="133"/>
      <c r="C198" s="133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>
      <c r="A199" s="116"/>
      <c r="B199" s="133"/>
      <c r="C199" s="133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>
      <c r="A200" s="116"/>
      <c r="B200" s="133"/>
      <c r="C200" s="133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>
      <c r="A201" s="116"/>
      <c r="B201" s="133"/>
      <c r="C201" s="133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>
      <c r="A202" s="116"/>
      <c r="B202" s="133"/>
      <c r="C202" s="133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>
      <c r="A203" s="116"/>
      <c r="B203" s="133"/>
      <c r="C203" s="133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>
      <c r="A204" s="116"/>
      <c r="B204" s="133"/>
      <c r="C204" s="133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>
      <c r="A205" s="116"/>
      <c r="B205" s="133"/>
      <c r="C205" s="133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>
      <c r="A206" s="116"/>
      <c r="B206" s="133"/>
      <c r="C206" s="133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>
      <c r="A207" s="116"/>
      <c r="B207" s="133"/>
      <c r="C207" s="133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>
      <c r="A208" s="116"/>
      <c r="B208" s="133"/>
      <c r="C208" s="133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>
      <c r="A209" s="116"/>
      <c r="B209" s="133"/>
      <c r="C209" s="133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>
      <c r="A210" s="116"/>
      <c r="B210" s="133"/>
      <c r="C210" s="133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>
      <c r="A211" s="116"/>
      <c r="B211" s="133"/>
      <c r="C211" s="133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>
      <c r="A212" s="116"/>
      <c r="B212" s="133"/>
      <c r="C212" s="133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>
      <c r="A213" s="116"/>
      <c r="B213" s="133"/>
      <c r="C213" s="133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>
      <c r="A214" s="116"/>
      <c r="B214" s="133"/>
      <c r="C214" s="133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>
      <c r="A215" s="116"/>
      <c r="B215" s="133"/>
      <c r="C215" s="133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>
      <c r="A216" s="116"/>
      <c r="B216" s="133"/>
      <c r="C216" s="133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>
      <c r="A217" s="116"/>
      <c r="B217" s="133"/>
      <c r="C217" s="133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>
      <c r="A218" s="116"/>
      <c r="B218" s="133"/>
      <c r="C218" s="133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>
      <c r="A219" s="116"/>
      <c r="B219" s="133"/>
      <c r="C219" s="133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>
      <c r="A220" s="116"/>
      <c r="B220" s="133"/>
      <c r="C220" s="133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>
      <c r="A221" s="116"/>
      <c r="B221" s="133"/>
      <c r="C221" s="133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>
      <c r="A222" s="116"/>
      <c r="B222" s="133"/>
      <c r="C222" s="133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>
      <c r="A223" s="116"/>
      <c r="B223" s="133"/>
      <c r="C223" s="133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>
      <c r="A224" s="116"/>
      <c r="B224" s="133"/>
      <c r="C224" s="133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>
      <c r="A225" s="116"/>
      <c r="B225" s="133"/>
      <c r="C225" s="133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>
      <c r="A226" s="116"/>
      <c r="B226" s="133"/>
      <c r="C226" s="133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>
      <c r="A227" s="116"/>
      <c r="B227" s="133"/>
      <c r="C227" s="133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>
      <c r="A228" s="116"/>
      <c r="B228" s="133"/>
      <c r="C228" s="133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>
      <c r="A229" s="116"/>
      <c r="B229" s="133"/>
      <c r="C229" s="133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>
      <c r="A230" s="116"/>
      <c r="B230" s="133"/>
      <c r="C230" s="133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>
      <c r="A231" s="116"/>
      <c r="B231" s="133"/>
      <c r="C231" s="133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>
      <c r="A232" s="116"/>
      <c r="B232" s="133"/>
      <c r="C232" s="133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>
      <c r="A233" s="116"/>
      <c r="B233" s="133"/>
      <c r="C233" s="133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>
      <c r="A234" s="116"/>
      <c r="B234" s="133"/>
      <c r="C234" s="133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>
      <c r="A235" s="116"/>
      <c r="B235" s="133"/>
      <c r="C235" s="133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>
      <c r="A236" s="116"/>
      <c r="B236" s="133"/>
      <c r="C236" s="133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>
      <c r="A237" s="116"/>
      <c r="B237" s="133"/>
      <c r="C237" s="133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>
      <c r="A238" s="116"/>
      <c r="B238" s="133"/>
      <c r="C238" s="133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>
      <c r="A239" s="116"/>
      <c r="B239" s="133"/>
      <c r="C239" s="133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>
      <c r="A240" s="116"/>
      <c r="B240" s="133"/>
      <c r="C240" s="133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>
      <c r="A241" s="116"/>
      <c r="B241" s="133"/>
      <c r="C241" s="133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>
      <c r="A242" s="116"/>
      <c r="B242" s="133"/>
      <c r="C242" s="133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>
      <c r="A243" s="116"/>
      <c r="B243" s="133"/>
      <c r="C243" s="133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>
      <c r="A244" s="116"/>
      <c r="B244" s="133"/>
      <c r="C244" s="133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>
      <c r="A245" s="116"/>
      <c r="B245" s="133"/>
      <c r="C245" s="133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>
      <c r="A246" s="116"/>
      <c r="B246" s="133"/>
      <c r="C246" s="133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>
      <c r="A247" s="116"/>
      <c r="B247" s="133"/>
      <c r="C247" s="133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>
      <c r="A248" s="116"/>
      <c r="B248" s="133"/>
      <c r="C248" s="133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>
      <c r="A249" s="116"/>
      <c r="B249" s="133"/>
      <c r="C249" s="133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>
      <c r="A250" s="116"/>
      <c r="B250" s="133"/>
      <c r="C250" s="133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>
      <c r="A251" s="116"/>
      <c r="B251" s="133"/>
      <c r="C251" s="133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>
      <c r="A252" s="116"/>
      <c r="B252" s="133"/>
      <c r="C252" s="133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>
      <c r="A253" s="116"/>
      <c r="B253" s="133"/>
      <c r="C253" s="133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>
      <c r="A254" s="116"/>
      <c r="B254" s="133"/>
      <c r="C254" s="133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>
      <c r="A255" s="116"/>
      <c r="B255" s="133"/>
      <c r="C255" s="133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>
      <c r="A256" s="116"/>
      <c r="B256" s="133"/>
      <c r="C256" s="133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>
      <c r="A257" s="116"/>
      <c r="B257" s="133"/>
      <c r="C257" s="133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>
      <c r="A258" s="116"/>
      <c r="B258" s="133"/>
      <c r="C258" s="133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>
      <c r="A259" s="116"/>
      <c r="B259" s="133"/>
      <c r="C259" s="133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>
      <c r="A260" s="116"/>
      <c r="B260" s="133"/>
      <c r="C260" s="133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>
      <c r="A261" s="116"/>
      <c r="B261" s="133"/>
      <c r="C261" s="133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>
      <c r="A262" s="116"/>
      <c r="B262" s="133"/>
      <c r="C262" s="133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>
      <c r="A263" s="116"/>
      <c r="B263" s="133"/>
      <c r="C263" s="133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>
      <c r="A264" s="116"/>
      <c r="B264" s="133"/>
      <c r="C264" s="133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>
      <c r="A265" s="116"/>
      <c r="B265" s="133"/>
      <c r="C265" s="133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>
      <c r="A266" s="116"/>
      <c r="B266" s="133"/>
      <c r="C266" s="133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>
      <c r="A267" s="116"/>
      <c r="B267" s="133"/>
      <c r="C267" s="133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>
      <c r="A268" s="116"/>
      <c r="B268" s="133"/>
      <c r="C268" s="133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>
      <c r="A269" s="116"/>
      <c r="B269" s="133"/>
      <c r="C269" s="133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>
      <c r="A270" s="116"/>
      <c r="B270" s="133"/>
      <c r="C270" s="133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>
      <c r="A271" s="116"/>
      <c r="B271" s="133"/>
      <c r="C271" s="133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>
      <c r="A272" s="116"/>
      <c r="B272" s="133"/>
      <c r="C272" s="133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>
      <c r="A273" s="116"/>
      <c r="B273" s="133"/>
      <c r="C273" s="133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>
      <c r="A274" s="116"/>
      <c r="B274" s="133"/>
      <c r="C274" s="133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>
      <c r="A275" s="116"/>
      <c r="B275" s="133"/>
      <c r="C275" s="133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>
      <c r="A276" s="116"/>
      <c r="B276" s="133"/>
      <c r="C276" s="133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>
      <c r="A277" s="116"/>
      <c r="B277" s="133"/>
      <c r="C277" s="133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>
      <c r="A278" s="116"/>
      <c r="B278" s="133"/>
      <c r="C278" s="133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>
      <c r="A279" s="116"/>
      <c r="B279" s="133"/>
      <c r="C279" s="133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>
      <c r="A280" s="116"/>
      <c r="B280" s="133"/>
      <c r="C280" s="133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>
      <c r="A281" s="116"/>
      <c r="B281" s="133"/>
      <c r="C281" s="133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>
      <c r="A282" s="116"/>
      <c r="B282" s="133"/>
      <c r="C282" s="133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>
      <c r="A283" s="116"/>
      <c r="B283" s="133"/>
      <c r="C283" s="133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>
      <c r="A284" s="116"/>
      <c r="B284" s="133"/>
      <c r="C284" s="133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>
      <c r="A285" s="116"/>
      <c r="B285" s="133"/>
      <c r="C285" s="133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>
      <c r="A286" s="116"/>
      <c r="B286" s="133"/>
      <c r="C286" s="133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>
      <c r="A287" s="116"/>
      <c r="B287" s="133"/>
      <c r="C287" s="133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>
      <c r="A288" s="116"/>
      <c r="B288" s="133"/>
      <c r="C288" s="133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>
      <c r="A289" s="116"/>
      <c r="B289" s="133"/>
      <c r="C289" s="133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>
      <c r="A290" s="116"/>
      <c r="B290" s="133"/>
      <c r="C290" s="133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>
      <c r="A291" s="116"/>
      <c r="B291" s="133"/>
      <c r="C291" s="133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>
      <c r="A292" s="116"/>
      <c r="B292" s="133"/>
      <c r="C292" s="133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>
      <c r="A293" s="116"/>
      <c r="B293" s="133"/>
      <c r="C293" s="133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>
      <c r="A294" s="116"/>
      <c r="B294" s="133"/>
      <c r="C294" s="133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>
      <c r="A295" s="116"/>
      <c r="B295" s="133"/>
      <c r="C295" s="133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>
      <c r="A296" s="116"/>
      <c r="B296" s="133"/>
      <c r="C296" s="133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>
      <c r="A297" s="116"/>
      <c r="B297" s="133"/>
      <c r="C297" s="133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>
      <c r="A298" s="116"/>
      <c r="B298" s="133"/>
      <c r="C298" s="133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>
      <c r="A299" s="116"/>
      <c r="B299" s="133"/>
      <c r="C299" s="133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>
      <c r="A300" s="116"/>
      <c r="B300" s="133"/>
      <c r="C300" s="133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>
      <c r="A301" s="116"/>
      <c r="B301" s="133"/>
      <c r="C301" s="133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>
      <c r="A302" s="116"/>
      <c r="B302" s="133"/>
      <c r="C302" s="133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>
      <c r="A303" s="116"/>
      <c r="B303" s="133"/>
      <c r="C303" s="133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>
      <c r="A304" s="116"/>
      <c r="B304" s="133"/>
      <c r="C304" s="133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>
      <c r="A305" s="116"/>
      <c r="B305" s="133"/>
      <c r="C305" s="133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>
      <c r="A306" s="116"/>
      <c r="B306" s="133"/>
      <c r="C306" s="133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>
      <c r="A307" s="116"/>
      <c r="B307" s="133"/>
      <c r="C307" s="133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>
      <c r="A308" s="116"/>
      <c r="B308" s="133"/>
      <c r="C308" s="133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>
      <c r="A309" s="116"/>
      <c r="B309" s="133"/>
      <c r="C309" s="133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>
      <c r="A310" s="116"/>
      <c r="B310" s="133"/>
      <c r="C310" s="133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>
      <c r="A311" s="116"/>
      <c r="B311" s="133"/>
      <c r="C311" s="133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>
      <c r="A312" s="116"/>
      <c r="B312" s="133"/>
      <c r="C312" s="133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>
      <c r="A313" s="116"/>
      <c r="B313" s="133"/>
      <c r="C313" s="133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>
      <c r="A314" s="116"/>
      <c r="B314" s="133"/>
      <c r="C314" s="133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>
      <c r="A315" s="116"/>
      <c r="B315" s="133"/>
      <c r="C315" s="133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>
      <c r="A316" s="116"/>
      <c r="B316" s="133"/>
      <c r="C316" s="133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>
      <c r="A317" s="116"/>
      <c r="B317" s="133"/>
      <c r="C317" s="133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>
      <c r="A318" s="116"/>
      <c r="B318" s="133"/>
      <c r="C318" s="133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>
      <c r="A319" s="116"/>
      <c r="B319" s="133"/>
      <c r="C319" s="133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>
      <c r="A320" s="116"/>
      <c r="B320" s="133"/>
      <c r="C320" s="133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>
      <c r="A321" s="116"/>
      <c r="B321" s="133"/>
      <c r="C321" s="133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>
      <c r="A322" s="116"/>
      <c r="B322" s="133"/>
      <c r="C322" s="133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>
      <c r="A323" s="116"/>
      <c r="B323" s="133"/>
      <c r="C323" s="133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>
      <c r="A324" s="116"/>
      <c r="B324" s="133"/>
      <c r="C324" s="133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>
      <c r="A325" s="116"/>
      <c r="B325" s="133"/>
      <c r="C325" s="133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>
      <c r="A326" s="116"/>
      <c r="B326" s="133"/>
      <c r="C326" s="133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>
      <c r="A327" s="116"/>
      <c r="B327" s="133"/>
      <c r="C327" s="133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>
      <c r="A328" s="116"/>
      <c r="B328" s="133"/>
      <c r="C328" s="133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>
      <c r="A329" s="116"/>
      <c r="B329" s="133"/>
      <c r="C329" s="133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>
      <c r="A330" s="116"/>
      <c r="B330" s="133"/>
      <c r="C330" s="133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>
      <c r="A331" s="116"/>
      <c r="B331" s="133"/>
      <c r="C331" s="133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>
      <c r="A332" s="116"/>
      <c r="B332" s="133"/>
      <c r="C332" s="133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>
      <c r="A333" s="116"/>
      <c r="B333" s="133"/>
      <c r="C333" s="133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>
      <c r="A334" s="116"/>
      <c r="B334" s="133"/>
      <c r="C334" s="133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>
      <c r="A335" s="116"/>
      <c r="B335" s="133"/>
      <c r="C335" s="133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>
      <c r="A336" s="116"/>
      <c r="B336" s="133"/>
      <c r="C336" s="133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>
      <c r="A337" s="116"/>
      <c r="B337" s="133"/>
      <c r="C337" s="133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>
      <c r="A338" s="116"/>
      <c r="B338" s="133"/>
      <c r="C338" s="133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>
      <c r="A339" s="116"/>
      <c r="B339" s="133"/>
      <c r="C339" s="133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>
      <c r="A340" s="116"/>
      <c r="B340" s="133"/>
      <c r="C340" s="133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>
      <c r="A341" s="116"/>
      <c r="B341" s="133"/>
      <c r="C341" s="133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>
      <c r="A342" s="116"/>
      <c r="B342" s="133"/>
      <c r="C342" s="133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>
      <c r="A343" s="116"/>
      <c r="B343" s="133"/>
      <c r="C343" s="133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>
      <c r="A344" s="116"/>
      <c r="B344" s="133"/>
      <c r="C344" s="133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>
      <c r="A345" s="116"/>
      <c r="B345" s="133"/>
      <c r="C345" s="133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>
      <c r="A346" s="116"/>
      <c r="B346" s="133"/>
      <c r="C346" s="133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>
      <c r="A347" s="116"/>
      <c r="B347" s="133"/>
      <c r="C347" s="133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>
      <c r="A348" s="116"/>
      <c r="B348" s="133"/>
      <c r="C348" s="133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>
      <c r="A349" s="116"/>
      <c r="B349" s="133"/>
      <c r="C349" s="133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>
      <c r="A350" s="116"/>
      <c r="B350" s="133"/>
      <c r="C350" s="133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>
      <c r="A351" s="116"/>
      <c r="B351" s="133"/>
      <c r="C351" s="133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>
      <c r="A352" s="116"/>
      <c r="B352" s="133"/>
      <c r="C352" s="133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>
      <c r="A353" s="116"/>
      <c r="B353" s="133"/>
      <c r="C353" s="133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>
      <c r="A354" s="116"/>
      <c r="B354" s="133"/>
      <c r="C354" s="133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>
      <c r="A355" s="116"/>
      <c r="B355" s="133"/>
      <c r="C355" s="133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>
      <c r="A356" s="116"/>
      <c r="B356" s="133"/>
      <c r="C356" s="133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>
      <c r="A357" s="116"/>
      <c r="B357" s="133"/>
      <c r="C357" s="133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>
      <c r="A358" s="116"/>
      <c r="B358" s="133"/>
      <c r="C358" s="133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>
      <c r="A359" s="116"/>
      <c r="B359" s="133"/>
      <c r="C359" s="133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>
      <c r="A360" s="116"/>
      <c r="B360" s="133"/>
      <c r="C360" s="133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>
      <c r="A361" s="116"/>
      <c r="B361" s="133"/>
      <c r="C361" s="133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>
      <c r="A362" s="116"/>
      <c r="B362" s="133"/>
      <c r="C362" s="133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>
      <c r="A363" s="116"/>
      <c r="B363" s="133"/>
      <c r="C363" s="133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>
      <c r="A364" s="116"/>
      <c r="B364" s="133"/>
      <c r="C364" s="133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>
      <c r="A365" s="116"/>
      <c r="B365" s="133"/>
      <c r="C365" s="133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>
      <c r="A366" s="116"/>
      <c r="B366" s="133"/>
      <c r="C366" s="133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>
      <c r="A367" s="116"/>
      <c r="B367" s="133"/>
      <c r="C367" s="133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>
      <c r="A368" s="116"/>
      <c r="B368" s="133"/>
      <c r="C368" s="133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>
      <c r="A369" s="116"/>
      <c r="B369" s="133"/>
      <c r="C369" s="133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>
      <c r="A370" s="116"/>
      <c r="B370" s="133"/>
      <c r="C370" s="133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>
      <c r="A371" s="116"/>
      <c r="B371" s="133"/>
      <c r="C371" s="133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>
      <c r="A372" s="116"/>
      <c r="B372" s="133"/>
      <c r="C372" s="133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>
      <c r="A373" s="116"/>
      <c r="B373" s="133"/>
      <c r="C373" s="133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>
      <c r="A374" s="116"/>
      <c r="B374" s="133"/>
      <c r="C374" s="133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>
      <c r="A375" s="116"/>
      <c r="B375" s="133"/>
      <c r="C375" s="133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>
      <c r="A376" s="116"/>
      <c r="B376" s="133"/>
      <c r="C376" s="133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>
      <c r="A377" s="116"/>
      <c r="B377" s="133"/>
      <c r="C377" s="133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>
      <c r="A378" s="116"/>
      <c r="B378" s="133"/>
      <c r="C378" s="133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>
      <c r="A379" s="116"/>
      <c r="B379" s="133"/>
      <c r="C379" s="133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>
      <c r="A380" s="116"/>
      <c r="B380" s="133"/>
      <c r="C380" s="133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>
      <c r="A381" s="116"/>
      <c r="B381" s="133"/>
      <c r="C381" s="133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>
      <c r="A382" s="116"/>
      <c r="B382" s="133"/>
      <c r="C382" s="133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>
      <c r="A383" s="116"/>
      <c r="B383" s="133"/>
      <c r="C383" s="133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>
      <c r="A384" s="116"/>
      <c r="B384" s="133"/>
      <c r="C384" s="133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>
      <c r="A385" s="116"/>
      <c r="B385" s="133"/>
      <c r="C385" s="133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>
      <c r="A386" s="116"/>
      <c r="B386" s="133"/>
      <c r="C386" s="133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>
      <c r="A387" s="116"/>
      <c r="B387" s="133"/>
      <c r="C387" s="133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>
      <c r="A388" s="116"/>
      <c r="B388" s="133"/>
      <c r="C388" s="133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>
      <c r="A389" s="116"/>
      <c r="B389" s="133"/>
      <c r="C389" s="133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>
      <c r="A390" s="116"/>
      <c r="B390" s="133"/>
      <c r="C390" s="133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>
      <c r="A391" s="116"/>
      <c r="B391" s="133"/>
      <c r="C391" s="133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>
      <c r="A392" s="116"/>
      <c r="B392" s="133"/>
      <c r="C392" s="133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>
      <c r="A393" s="116"/>
      <c r="B393" s="133"/>
      <c r="C393" s="133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>
      <c r="A394" s="116"/>
      <c r="B394" s="133"/>
      <c r="C394" s="133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>
      <c r="A395" s="116"/>
      <c r="B395" s="133"/>
      <c r="C395" s="133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>
      <c r="A396" s="116"/>
      <c r="B396" s="133"/>
      <c r="C396" s="133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>
      <c r="A397" s="116"/>
      <c r="B397" s="133"/>
      <c r="C397" s="133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>
      <c r="A398" s="116"/>
      <c r="B398" s="133"/>
      <c r="C398" s="133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>
      <c r="A399" s="116"/>
      <c r="B399" s="133"/>
      <c r="C399" s="133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>
      <c r="A400" s="116"/>
      <c r="B400" s="133"/>
      <c r="C400" s="133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>
      <c r="A401" s="116"/>
      <c r="B401" s="133"/>
      <c r="C401" s="133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>
      <c r="A402" s="116"/>
      <c r="B402" s="133"/>
      <c r="C402" s="133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>
      <c r="A403" s="116"/>
      <c r="B403" s="133"/>
      <c r="C403" s="133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>
      <c r="A404" s="116"/>
      <c r="B404" s="133"/>
      <c r="C404" s="133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>
      <c r="A405" s="116"/>
      <c r="B405" s="133"/>
      <c r="C405" s="133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>
      <c r="A406" s="116"/>
      <c r="B406" s="133"/>
      <c r="C406" s="133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>
      <c r="A407" s="116"/>
      <c r="B407" s="133"/>
      <c r="C407" s="133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>
      <c r="A408" s="116"/>
      <c r="B408" s="133"/>
      <c r="C408" s="133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>
      <c r="A409" s="116"/>
      <c r="B409" s="133"/>
      <c r="C409" s="133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>
      <c r="A410" s="116"/>
      <c r="B410" s="133"/>
      <c r="C410" s="133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>
      <c r="A411" s="116"/>
      <c r="B411" s="133"/>
      <c r="C411" s="133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>
      <c r="A412" s="116"/>
      <c r="B412" s="133"/>
      <c r="C412" s="133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>
      <c r="A413" s="116"/>
      <c r="B413" s="133"/>
      <c r="C413" s="133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>
      <c r="A414" s="116"/>
      <c r="B414" s="133"/>
      <c r="C414" s="133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>
      <c r="A415" s="116"/>
      <c r="B415" s="133"/>
      <c r="C415" s="133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>
      <c r="A416" s="116"/>
      <c r="B416" s="133"/>
      <c r="C416" s="133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>
      <c r="A417" s="116"/>
      <c r="B417" s="133"/>
      <c r="C417" s="133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>
      <c r="A418" s="116"/>
      <c r="B418" s="133"/>
      <c r="C418" s="133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>
      <c r="A419" s="116"/>
      <c r="B419" s="133"/>
      <c r="C419" s="133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>
      <c r="A420" s="116"/>
      <c r="B420" s="133"/>
      <c r="C420" s="133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>
      <c r="A421" s="116"/>
      <c r="B421" s="133"/>
      <c r="C421" s="133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>
      <c r="A422" s="116"/>
      <c r="B422" s="133"/>
      <c r="C422" s="133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>
      <c r="A423" s="116"/>
      <c r="B423" s="133"/>
      <c r="C423" s="133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>
      <c r="A424" s="116"/>
      <c r="B424" s="133"/>
      <c r="C424" s="133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>
      <c r="A425" s="116"/>
      <c r="B425" s="133"/>
      <c r="C425" s="133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>
      <c r="A426" s="116"/>
      <c r="B426" s="133"/>
      <c r="C426" s="133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>
      <c r="A427" s="116"/>
      <c r="B427" s="133"/>
      <c r="C427" s="133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>
      <c r="A428" s="116"/>
      <c r="B428" s="133"/>
      <c r="C428" s="133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>
      <c r="A429" s="116"/>
      <c r="B429" s="133"/>
      <c r="C429" s="133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>
      <c r="A430" s="116"/>
      <c r="B430" s="133"/>
      <c r="C430" s="133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>
      <c r="A431" s="116"/>
      <c r="B431" s="133"/>
      <c r="C431" s="133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>
      <c r="A432" s="116"/>
      <c r="B432" s="133"/>
      <c r="C432" s="133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>
      <c r="A433" s="116"/>
      <c r="B433" s="133"/>
      <c r="C433" s="133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>
      <c r="A434" s="116"/>
      <c r="B434" s="133"/>
      <c r="C434" s="133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>
      <c r="A435" s="116"/>
      <c r="B435" s="133"/>
      <c r="C435" s="133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>
      <c r="A436" s="116"/>
      <c r="B436" s="133"/>
      <c r="C436" s="133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>
      <c r="A437" s="116"/>
      <c r="B437" s="133"/>
      <c r="C437" s="133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>
      <c r="A438" s="116"/>
      <c r="B438" s="133"/>
      <c r="C438" s="133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>
      <c r="A439" s="116"/>
      <c r="B439" s="133"/>
      <c r="C439" s="133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>
      <c r="A440" s="116"/>
      <c r="B440" s="133"/>
      <c r="C440" s="133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>
      <c r="A441" s="116"/>
      <c r="B441" s="133"/>
      <c r="C441" s="133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>
      <c r="A442" s="116"/>
      <c r="B442" s="133"/>
      <c r="C442" s="133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>
      <c r="A443" s="116"/>
      <c r="B443" s="133"/>
      <c r="C443" s="133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>
      <c r="A444" s="116"/>
      <c r="B444" s="133"/>
      <c r="C444" s="133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>
      <c r="A445" s="116"/>
      <c r="B445" s="133"/>
      <c r="C445" s="133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>
      <c r="A446" s="116"/>
      <c r="B446" s="133"/>
      <c r="C446" s="133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>
      <c r="A447" s="116"/>
      <c r="B447" s="133"/>
      <c r="C447" s="133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>
      <c r="A448" s="116"/>
      <c r="B448" s="133"/>
      <c r="C448" s="133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>
      <c r="A449" s="116"/>
      <c r="B449" s="133"/>
      <c r="C449" s="133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>
      <c r="A450" s="116"/>
      <c r="B450" s="133"/>
      <c r="C450" s="133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>
      <c r="A451" s="116"/>
      <c r="B451" s="133"/>
      <c r="C451" s="133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>
      <c r="A452" s="116"/>
      <c r="B452" s="133"/>
      <c r="C452" s="133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>
      <c r="A453" s="116"/>
      <c r="B453" s="133"/>
      <c r="C453" s="133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>
      <c r="A454" s="116"/>
      <c r="B454" s="133"/>
      <c r="C454" s="133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>
      <c r="A455" s="116"/>
      <c r="B455" s="133"/>
      <c r="C455" s="133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>
      <c r="A456" s="116"/>
      <c r="B456" s="133"/>
      <c r="C456" s="133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>
      <c r="A457" s="116"/>
      <c r="B457" s="133"/>
      <c r="C457" s="133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>
      <c r="A458" s="116"/>
      <c r="B458" s="133"/>
      <c r="C458" s="133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>
      <c r="A459" s="116"/>
      <c r="B459" s="133"/>
      <c r="C459" s="133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>
      <c r="A460" s="116"/>
      <c r="B460" s="133"/>
      <c r="C460" s="133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>
      <c r="A461" s="116"/>
      <c r="B461" s="133"/>
      <c r="C461" s="133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>
      <c r="A462" s="116"/>
      <c r="B462" s="133"/>
      <c r="C462" s="133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>
      <c r="A463" s="116"/>
      <c r="B463" s="133"/>
      <c r="C463" s="133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>
      <c r="A464" s="116"/>
      <c r="B464" s="133"/>
      <c r="C464" s="133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>
      <c r="A465" s="116"/>
      <c r="B465" s="133"/>
      <c r="C465" s="133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>
      <c r="A466" s="116"/>
      <c r="B466" s="133"/>
      <c r="C466" s="133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>
      <c r="A467" s="116"/>
      <c r="B467" s="133"/>
      <c r="C467" s="133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>
      <c r="A468" s="116"/>
      <c r="B468" s="133"/>
      <c r="C468" s="133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>
      <c r="A469" s="116"/>
      <c r="B469" s="133"/>
      <c r="C469" s="133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>
      <c r="A470" s="116"/>
      <c r="B470" s="133"/>
      <c r="C470" s="133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>
      <c r="A471" s="116"/>
      <c r="B471" s="133"/>
      <c r="C471" s="133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>
      <c r="A472" s="116"/>
      <c r="B472" s="133"/>
      <c r="C472" s="133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>
      <c r="A473" s="116"/>
      <c r="B473" s="133"/>
      <c r="C473" s="133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>
      <c r="A474" s="116"/>
      <c r="B474" s="133"/>
      <c r="C474" s="133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>
      <c r="A475" s="116"/>
      <c r="B475" s="133"/>
      <c r="C475" s="133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>
      <c r="A476" s="116"/>
      <c r="B476" s="133"/>
      <c r="C476" s="133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>
      <c r="A477" s="116"/>
      <c r="B477" s="133"/>
      <c r="C477" s="133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>
      <c r="A478" s="116"/>
      <c r="B478" s="133"/>
      <c r="C478" s="133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>
      <c r="A479" s="116"/>
      <c r="B479" s="133"/>
      <c r="C479" s="133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>
      <c r="A480" s="116"/>
      <c r="B480" s="133"/>
      <c r="C480" s="133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>
      <c r="A481" s="116"/>
      <c r="B481" s="133"/>
      <c r="C481" s="133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>
      <c r="A482" s="116"/>
      <c r="B482" s="133"/>
      <c r="C482" s="133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>
      <c r="A483" s="116"/>
      <c r="B483" s="133"/>
      <c r="C483" s="133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>
      <c r="A484" s="116"/>
      <c r="B484" s="133"/>
      <c r="C484" s="133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>
      <c r="A485" s="116"/>
      <c r="B485" s="133"/>
      <c r="C485" s="133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>
      <c r="A486" s="116"/>
      <c r="B486" s="133"/>
      <c r="C486" s="133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>
      <c r="A487" s="116"/>
      <c r="B487" s="133"/>
      <c r="C487" s="133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>
      <c r="A488" s="116"/>
      <c r="B488" s="133"/>
      <c r="C488" s="133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>
      <c r="A489" s="116"/>
      <c r="B489" s="133"/>
      <c r="C489" s="133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>
      <c r="A490" s="116"/>
      <c r="B490" s="133"/>
      <c r="C490" s="133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>
      <c r="A491" s="116"/>
      <c r="B491" s="133"/>
      <c r="C491" s="133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>
      <c r="A492" s="116"/>
      <c r="B492" s="133"/>
      <c r="C492" s="133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>
      <c r="A493" s="116"/>
      <c r="B493" s="133"/>
      <c r="C493" s="133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>
      <c r="A494" s="116"/>
      <c r="B494" s="133"/>
      <c r="C494" s="133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>
      <c r="A495" s="116"/>
      <c r="B495" s="133"/>
      <c r="C495" s="133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>
      <c r="A496" s="116"/>
      <c r="B496" s="133"/>
      <c r="C496" s="133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>
      <c r="A497" s="116"/>
      <c r="B497" s="133"/>
      <c r="C497" s="133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>
      <c r="A498" s="116"/>
      <c r="B498" s="133"/>
      <c r="C498" s="133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>
      <c r="A499" s="116"/>
      <c r="B499" s="133"/>
      <c r="C499" s="133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>
      <c r="A500" s="116"/>
      <c r="B500" s="133"/>
      <c r="C500" s="133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>
      <c r="A501" s="116"/>
      <c r="B501" s="133"/>
      <c r="C501" s="133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>
      <c r="A502" s="116"/>
      <c r="B502" s="133"/>
      <c r="C502" s="133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>
      <c r="A503" s="116"/>
      <c r="B503" s="133"/>
      <c r="C503" s="133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>
      <c r="A504" s="116"/>
      <c r="B504" s="133"/>
      <c r="C504" s="133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>
      <c r="A505" s="116"/>
      <c r="B505" s="133"/>
      <c r="C505" s="133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>
      <c r="A506" s="116"/>
      <c r="B506" s="133"/>
      <c r="C506" s="133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>
      <c r="A507" s="116"/>
      <c r="B507" s="133"/>
      <c r="C507" s="133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>
      <c r="A508" s="116"/>
      <c r="B508" s="133"/>
      <c r="C508" s="133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>
      <c r="A509" s="116"/>
      <c r="B509" s="133"/>
      <c r="C509" s="133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>
      <c r="A510" s="116"/>
      <c r="B510" s="133"/>
      <c r="C510" s="133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>
      <c r="A511" s="116"/>
      <c r="B511" s="133"/>
      <c r="C511" s="133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>
      <c r="A512" s="116"/>
      <c r="B512" s="133"/>
      <c r="C512" s="133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>
      <c r="A513" s="116"/>
      <c r="B513" s="133"/>
      <c r="C513" s="133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>
      <c r="A514" s="116"/>
      <c r="B514" s="133"/>
      <c r="C514" s="133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>
      <c r="A515" s="116"/>
      <c r="B515" s="133"/>
      <c r="C515" s="133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>
      <c r="A516" s="116"/>
      <c r="B516" s="133"/>
      <c r="C516" s="133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>
      <c r="A517" s="116"/>
      <c r="B517" s="133"/>
      <c r="C517" s="133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>
      <c r="A518" s="116"/>
      <c r="B518" s="133"/>
      <c r="C518" s="133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>
      <c r="A519" s="116"/>
      <c r="B519" s="133"/>
      <c r="C519" s="133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>
      <c r="A520" s="116"/>
      <c r="B520" s="133"/>
      <c r="C520" s="133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>
      <c r="A521" s="116"/>
      <c r="B521" s="133"/>
      <c r="C521" s="133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>
      <c r="A522" s="116"/>
      <c r="B522" s="133"/>
      <c r="C522" s="133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>
      <c r="A523" s="116"/>
      <c r="B523" s="133"/>
      <c r="C523" s="133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>
      <c r="A524" s="116"/>
      <c r="B524" s="133"/>
      <c r="C524" s="133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>
      <c r="A525" s="116"/>
      <c r="B525" s="133"/>
      <c r="C525" s="133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>
      <c r="A526" s="116"/>
      <c r="B526" s="133"/>
      <c r="C526" s="133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>
      <c r="A527" s="116"/>
      <c r="B527" s="133"/>
      <c r="C527" s="133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>
      <c r="A528" s="116"/>
      <c r="B528" s="133"/>
      <c r="C528" s="133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>
      <c r="A529" s="116"/>
      <c r="B529" s="133"/>
      <c r="C529" s="133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>
      <c r="A530" s="116"/>
      <c r="B530" s="133"/>
      <c r="C530" s="133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>
      <c r="A531" s="116"/>
      <c r="B531" s="133"/>
      <c r="C531" s="133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>
      <c r="A532" s="116"/>
      <c r="B532" s="133"/>
      <c r="C532" s="133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>
      <c r="A533" s="116"/>
      <c r="B533" s="133"/>
      <c r="C533" s="133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>
      <c r="A534" s="116"/>
      <c r="B534" s="133"/>
      <c r="C534" s="133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>
      <c r="A535" s="116"/>
      <c r="B535" s="133"/>
      <c r="C535" s="133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>
      <c r="A536" s="116"/>
      <c r="B536" s="133"/>
      <c r="C536" s="133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>
      <c r="A537" s="116"/>
      <c r="B537" s="133"/>
      <c r="C537" s="133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>
      <c r="A538" s="116"/>
      <c r="B538" s="133"/>
      <c r="C538" s="133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>
      <c r="A539" s="116"/>
      <c r="B539" s="133"/>
      <c r="C539" s="133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>
      <c r="A540" s="116"/>
      <c r="B540" s="133"/>
      <c r="C540" s="133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>
      <c r="A541" s="116"/>
      <c r="B541" s="133"/>
      <c r="C541" s="133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>
      <c r="A542" s="116"/>
      <c r="B542" s="133"/>
      <c r="C542" s="133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>
      <c r="A543" s="116"/>
      <c r="B543" s="133"/>
      <c r="C543" s="133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>
      <c r="A544" s="116"/>
      <c r="B544" s="133"/>
      <c r="C544" s="133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>
      <c r="A545" s="116"/>
      <c r="B545" s="133"/>
      <c r="C545" s="133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>
      <c r="A546" s="116"/>
      <c r="B546" s="133"/>
      <c r="C546" s="133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>
      <c r="A547" s="116"/>
      <c r="B547" s="133"/>
      <c r="C547" s="133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>
      <c r="A548" s="116"/>
      <c r="B548" s="133"/>
      <c r="C548" s="133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>
      <c r="A549" s="116"/>
      <c r="B549" s="133"/>
      <c r="C549" s="133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>
      <c r="A550" s="116"/>
      <c r="B550" s="133"/>
      <c r="C550" s="133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>
      <c r="A551" s="116"/>
      <c r="B551" s="133"/>
      <c r="C551" s="133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>
      <c r="A552" s="116"/>
      <c r="B552" s="133"/>
      <c r="C552" s="133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>
      <c r="A553" s="116"/>
      <c r="B553" s="133"/>
      <c r="C553" s="133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>
      <c r="A554" s="116"/>
      <c r="B554" s="133"/>
      <c r="C554" s="133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>
      <c r="A555" s="116"/>
      <c r="B555" s="133"/>
      <c r="C555" s="133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>
      <c r="A556" s="116"/>
      <c r="B556" s="133"/>
      <c r="C556" s="133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>
      <c r="A557" s="116"/>
      <c r="B557" s="133"/>
      <c r="C557" s="133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>
      <c r="A558" s="116"/>
      <c r="B558" s="133"/>
      <c r="C558" s="133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>
      <c r="A559" s="116"/>
      <c r="B559" s="133"/>
      <c r="C559" s="133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>
      <c r="A560" s="116"/>
      <c r="B560" s="133"/>
      <c r="C560" s="133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>
      <c r="A561" s="116"/>
      <c r="B561" s="133"/>
      <c r="C561" s="133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>
      <c r="A562" s="116"/>
      <c r="B562" s="133"/>
      <c r="C562" s="133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>
      <c r="A563" s="116"/>
      <c r="B563" s="133"/>
      <c r="C563" s="133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>
      <c r="A564" s="116"/>
      <c r="B564" s="133"/>
      <c r="C564" s="133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>
      <c r="A565" s="116"/>
      <c r="B565" s="133"/>
      <c r="C565" s="133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>
      <c r="A566" s="116"/>
      <c r="B566" s="133"/>
      <c r="C566" s="133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>
      <c r="A567" s="116"/>
      <c r="B567" s="133"/>
      <c r="C567" s="133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>
      <c r="A568" s="116"/>
      <c r="B568" s="133"/>
      <c r="C568" s="133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>
      <c r="A569" s="116"/>
      <c r="B569" s="133"/>
      <c r="C569" s="133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>
      <c r="A570" s="116"/>
      <c r="B570" s="133"/>
      <c r="C570" s="133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>
      <c r="A571" s="116"/>
      <c r="B571" s="133"/>
      <c r="C571" s="133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>
      <c r="A572" s="116"/>
      <c r="B572" s="133"/>
      <c r="C572" s="133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>
      <c r="A573" s="116"/>
      <c r="B573" s="133"/>
      <c r="C573" s="133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>
      <c r="A574" s="116"/>
      <c r="B574" s="133"/>
      <c r="C574" s="133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>
      <c r="A575" s="116"/>
      <c r="B575" s="133"/>
      <c r="C575" s="133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>
      <c r="A576" s="116"/>
      <c r="B576" s="133"/>
      <c r="C576" s="133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>
      <c r="A577" s="116"/>
      <c r="B577" s="133"/>
      <c r="C577" s="133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>
      <c r="A578" s="116"/>
      <c r="B578" s="133"/>
      <c r="C578" s="133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>
      <c r="A579" s="116"/>
      <c r="B579" s="133"/>
      <c r="C579" s="133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>
      <c r="A580" s="116"/>
      <c r="B580" s="133"/>
      <c r="C580" s="133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>
      <c r="A581" s="116"/>
      <c r="B581" s="133"/>
      <c r="C581" s="133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>
      <c r="A582" s="116"/>
      <c r="B582" s="133"/>
      <c r="C582" s="133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>
      <c r="A583" s="116"/>
      <c r="B583" s="133"/>
      <c r="C583" s="133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>
      <c r="A584" s="116"/>
      <c r="B584" s="133"/>
      <c r="C584" s="133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>
      <c r="A585" s="116"/>
      <c r="B585" s="133"/>
      <c r="C585" s="133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>
      <c r="A586" s="116"/>
      <c r="B586" s="133"/>
      <c r="C586" s="133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>
      <c r="A587" s="116"/>
      <c r="B587" s="133"/>
      <c r="C587" s="133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>
      <c r="A588" s="116"/>
      <c r="B588" s="133"/>
      <c r="C588" s="133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>
      <c r="A589" s="116"/>
      <c r="B589" s="133"/>
      <c r="C589" s="133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>
      <c r="A590" s="116"/>
      <c r="B590" s="133"/>
      <c r="C590" s="133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>
      <c r="A591" s="116"/>
      <c r="B591" s="133"/>
      <c r="C591" s="133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>
      <c r="A592" s="116"/>
      <c r="B592" s="133"/>
      <c r="C592" s="133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>
      <c r="A593" s="116"/>
      <c r="B593" s="133"/>
      <c r="C593" s="133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>
      <c r="A594" s="116"/>
      <c r="B594" s="133"/>
      <c r="C594" s="133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>
      <c r="A595" s="116"/>
      <c r="B595" s="133"/>
      <c r="C595" s="133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>
      <c r="A596" s="116"/>
      <c r="B596" s="133"/>
      <c r="C596" s="133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>
      <c r="A597" s="116"/>
      <c r="B597" s="133"/>
      <c r="C597" s="133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>
      <c r="A598" s="116"/>
      <c r="B598" s="133"/>
      <c r="C598" s="133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>
      <c r="A599" s="116"/>
      <c r="B599" s="133"/>
      <c r="C599" s="133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>
      <c r="A600" s="116"/>
      <c r="B600" s="133"/>
      <c r="C600" s="133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>
      <c r="A601" s="116"/>
      <c r="B601" s="133"/>
      <c r="C601" s="133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>
      <c r="A602" s="116"/>
      <c r="B602" s="133"/>
      <c r="C602" s="133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>
      <c r="A603" s="116"/>
      <c r="B603" s="133"/>
      <c r="C603" s="133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>
      <c r="A604" s="116"/>
      <c r="B604" s="133"/>
      <c r="C604" s="133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>
      <c r="A605" s="116"/>
      <c r="B605" s="133"/>
      <c r="C605" s="133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>
      <c r="A606" s="116"/>
      <c r="B606" s="133"/>
      <c r="C606" s="133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>
      <c r="A607" s="116"/>
      <c r="B607" s="133"/>
      <c r="C607" s="133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>
      <c r="A608" s="116"/>
      <c r="B608" s="133"/>
      <c r="C608" s="133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>
      <c r="A609" s="116"/>
      <c r="B609" s="133"/>
      <c r="C609" s="133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>
      <c r="A610" s="116"/>
      <c r="B610" s="133"/>
      <c r="C610" s="133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>
      <c r="A611" s="116"/>
      <c r="B611" s="133"/>
      <c r="C611" s="133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>
      <c r="A612" s="116"/>
      <c r="B612" s="133"/>
      <c r="C612" s="133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>
      <c r="A613" s="116"/>
      <c r="B613" s="133"/>
      <c r="C613" s="133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>
      <c r="A614" s="116"/>
      <c r="B614" s="133"/>
      <c r="C614" s="133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>
      <c r="A615" s="116"/>
      <c r="B615" s="133"/>
      <c r="C615" s="133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>
      <c r="A616" s="116"/>
      <c r="B616" s="133"/>
      <c r="C616" s="133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>
      <c r="A617" s="116"/>
      <c r="B617" s="133"/>
      <c r="C617" s="133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>
      <c r="A618" s="116"/>
      <c r="B618" s="133"/>
      <c r="C618" s="133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>
      <c r="A619" s="116"/>
      <c r="B619" s="133"/>
      <c r="C619" s="133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>
      <c r="A620" s="116"/>
      <c r="B620" s="133"/>
      <c r="C620" s="133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>
      <c r="A621" s="116"/>
      <c r="B621" s="133"/>
      <c r="C621" s="133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>
      <c r="A622" s="116"/>
      <c r="B622" s="133"/>
      <c r="C622" s="133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>
      <c r="A623" s="116"/>
      <c r="B623" s="133"/>
      <c r="C623" s="133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>
      <c r="A624" s="116"/>
      <c r="B624" s="133"/>
      <c r="C624" s="133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>
      <c r="A625" s="116"/>
      <c r="B625" s="133"/>
      <c r="C625" s="133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>
      <c r="A626" s="116"/>
      <c r="B626" s="133"/>
      <c r="C626" s="133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>
      <c r="A627" s="116"/>
      <c r="B627" s="133"/>
      <c r="C627" s="133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>
      <c r="A628" s="116"/>
      <c r="B628" s="133"/>
      <c r="C628" s="133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>
      <c r="A629" s="116"/>
      <c r="B629" s="133"/>
      <c r="C629" s="133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>
      <c r="A630" s="116"/>
      <c r="B630" s="133"/>
      <c r="C630" s="133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>
      <c r="A631" s="116"/>
      <c r="B631" s="133"/>
      <c r="C631" s="133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>
      <c r="A632" s="116"/>
      <c r="B632" s="133"/>
      <c r="C632" s="133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>
      <c r="A633" s="116"/>
      <c r="B633" s="133"/>
      <c r="C633" s="133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>
      <c r="A634" s="116"/>
      <c r="B634" s="133"/>
      <c r="C634" s="133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>
      <c r="A635" s="116"/>
      <c r="B635" s="133"/>
      <c r="C635" s="133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>
      <c r="A636" s="116"/>
      <c r="B636" s="133"/>
      <c r="C636" s="133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>
      <c r="A637" s="116"/>
      <c r="B637" s="133"/>
      <c r="C637" s="133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>
      <c r="A638" s="116"/>
      <c r="B638" s="133"/>
      <c r="C638" s="133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>
      <c r="A639" s="116"/>
      <c r="B639" s="133"/>
      <c r="C639" s="133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>
      <c r="A640" s="116"/>
      <c r="B640" s="133"/>
      <c r="C640" s="133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>
      <c r="A641" s="116"/>
      <c r="B641" s="133"/>
      <c r="C641" s="133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>
      <c r="A642" s="116"/>
      <c r="B642" s="133"/>
      <c r="C642" s="133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>
      <c r="A643" s="116"/>
      <c r="B643" s="133"/>
      <c r="C643" s="133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>
      <c r="A644" s="116"/>
      <c r="B644" s="133"/>
      <c r="C644" s="133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>
      <c r="A645" s="116"/>
      <c r="B645" s="133"/>
      <c r="C645" s="133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>
      <c r="A646" s="116"/>
      <c r="B646" s="133"/>
      <c r="C646" s="133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>
      <c r="A647" s="116"/>
      <c r="B647" s="133"/>
      <c r="C647" s="133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>
      <c r="A648" s="116"/>
      <c r="B648" s="133"/>
      <c r="C648" s="133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>
      <c r="A649" s="116"/>
      <c r="B649" s="133"/>
      <c r="C649" s="133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>
      <c r="A650" s="116"/>
      <c r="B650" s="133"/>
      <c r="C650" s="133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>
      <c r="A651" s="116"/>
      <c r="B651" s="133"/>
      <c r="C651" s="133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>
      <c r="A652" s="116"/>
      <c r="B652" s="133"/>
      <c r="C652" s="133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>
      <c r="A653" s="116"/>
      <c r="B653" s="133"/>
      <c r="C653" s="133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>
      <c r="A654" s="116"/>
      <c r="B654" s="133"/>
      <c r="C654" s="133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>
      <c r="A655" s="116"/>
      <c r="B655" s="133"/>
      <c r="C655" s="133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>
      <c r="A656" s="116"/>
      <c r="B656" s="133"/>
      <c r="C656" s="133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>
      <c r="A657" s="116"/>
      <c r="B657" s="133"/>
      <c r="C657" s="133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>
      <c r="A658" s="116"/>
      <c r="B658" s="133"/>
      <c r="C658" s="133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>
      <c r="A659" s="116"/>
      <c r="B659" s="133"/>
      <c r="C659" s="133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>
      <c r="A660" s="116"/>
      <c r="B660" s="133"/>
      <c r="C660" s="133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>
      <c r="A661" s="116"/>
      <c r="B661" s="133"/>
      <c r="C661" s="133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>
      <c r="A662" s="116"/>
      <c r="B662" s="133"/>
      <c r="C662" s="133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>
      <c r="A663" s="116"/>
      <c r="B663" s="133"/>
      <c r="C663" s="133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>
      <c r="A664" s="116"/>
      <c r="B664" s="133"/>
      <c r="C664" s="133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>
      <c r="A665" s="116"/>
      <c r="B665" s="133"/>
      <c r="C665" s="133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>
      <c r="A666" s="116"/>
      <c r="B666" s="133"/>
      <c r="C666" s="133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>
      <c r="A667" s="116"/>
      <c r="B667" s="133"/>
      <c r="C667" s="133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>
      <c r="A668" s="116"/>
      <c r="B668" s="133"/>
      <c r="C668" s="133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>
      <c r="A669" s="116"/>
      <c r="B669" s="133"/>
      <c r="C669" s="133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>
      <c r="A670" s="116"/>
      <c r="B670" s="133"/>
      <c r="C670" s="133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>
      <c r="A671" s="116"/>
      <c r="B671" s="133"/>
      <c r="C671" s="133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>
      <c r="A672" s="116"/>
      <c r="B672" s="133"/>
      <c r="C672" s="133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>
      <c r="A673" s="116"/>
      <c r="B673" s="133"/>
      <c r="C673" s="133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>
      <c r="A674" s="116"/>
      <c r="B674" s="133"/>
      <c r="C674" s="133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>
      <c r="A675" s="116"/>
      <c r="B675" s="133"/>
      <c r="C675" s="133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>
      <c r="A676" s="116"/>
      <c r="B676" s="133"/>
      <c r="C676" s="133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>
      <c r="A677" s="116"/>
      <c r="B677" s="133"/>
      <c r="C677" s="133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>
      <c r="A678" s="116"/>
      <c r="B678" s="133"/>
      <c r="C678" s="133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>
      <c r="A679" s="116"/>
      <c r="B679" s="133"/>
      <c r="C679" s="133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>
      <c r="A680" s="116"/>
      <c r="B680" s="133"/>
      <c r="C680" s="133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>
      <c r="A681" s="116"/>
      <c r="B681" s="133"/>
      <c r="C681" s="133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>
      <c r="A682" s="116"/>
      <c r="B682" s="133"/>
      <c r="C682" s="133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>
      <c r="A683" s="116"/>
      <c r="B683" s="133"/>
      <c r="C683" s="133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>
      <c r="A684" s="116"/>
      <c r="B684" s="133"/>
      <c r="C684" s="133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>
      <c r="A685" s="116"/>
      <c r="B685" s="133"/>
      <c r="C685" s="133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>
      <c r="A686" s="116"/>
      <c r="B686" s="133"/>
      <c r="C686" s="133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>
      <c r="A687" s="116"/>
      <c r="B687" s="133"/>
      <c r="C687" s="133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>
      <c r="A688" s="116"/>
      <c r="B688" s="133"/>
      <c r="C688" s="133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>
      <c r="A689" s="116"/>
      <c r="B689" s="133"/>
      <c r="C689" s="133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>
      <c r="A690" s="116"/>
      <c r="B690" s="133"/>
      <c r="C690" s="133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>
      <c r="A691" s="116"/>
      <c r="B691" s="133"/>
      <c r="C691" s="133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>
      <c r="A692" s="116"/>
      <c r="B692" s="133"/>
      <c r="C692" s="133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>
      <c r="A693" s="116"/>
      <c r="B693" s="133"/>
      <c r="C693" s="133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>
      <c r="A694" s="116"/>
      <c r="B694" s="133"/>
      <c r="C694" s="133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>
      <c r="A695" s="116"/>
      <c r="B695" s="133"/>
      <c r="C695" s="133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>
      <c r="A696" s="116"/>
      <c r="B696" s="133"/>
      <c r="C696" s="133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>
      <c r="A697" s="116"/>
      <c r="B697" s="133"/>
      <c r="C697" s="133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>
      <c r="A698" s="116"/>
      <c r="B698" s="133"/>
      <c r="C698" s="133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>
      <c r="A699" s="116"/>
      <c r="B699" s="133"/>
      <c r="C699" s="133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>
      <c r="A700" s="116"/>
      <c r="B700" s="133"/>
      <c r="C700" s="133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>
      <c r="A701" s="116"/>
      <c r="B701" s="133"/>
      <c r="C701" s="133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>
      <c r="A702" s="116"/>
      <c r="B702" s="133"/>
      <c r="C702" s="133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>
      <c r="A703" s="116"/>
      <c r="B703" s="133"/>
      <c r="C703" s="133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>
      <c r="A704" s="116"/>
      <c r="B704" s="133"/>
      <c r="C704" s="133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>
      <c r="A705" s="116"/>
      <c r="B705" s="133"/>
      <c r="C705" s="133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>
      <c r="A706" s="116"/>
      <c r="B706" s="133"/>
      <c r="C706" s="133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>
      <c r="A707" s="116"/>
      <c r="B707" s="133"/>
      <c r="C707" s="133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>
      <c r="A708" s="116"/>
      <c r="B708" s="133"/>
      <c r="C708" s="133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>
      <c r="A709" s="116"/>
      <c r="B709" s="133"/>
      <c r="C709" s="133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>
      <c r="A710" s="116"/>
      <c r="B710" s="133"/>
      <c r="C710" s="133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>
      <c r="A711" s="116"/>
      <c r="B711" s="133"/>
      <c r="C711" s="133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>
      <c r="A712" s="116"/>
      <c r="B712" s="133"/>
      <c r="C712" s="133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>
      <c r="A713" s="116"/>
      <c r="B713" s="133"/>
      <c r="C713" s="133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>
      <c r="A714" s="116"/>
      <c r="B714" s="133"/>
      <c r="C714" s="133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>
      <c r="A715" s="116"/>
      <c r="B715" s="133"/>
      <c r="C715" s="133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>
      <c r="A716" s="116"/>
      <c r="B716" s="133"/>
      <c r="C716" s="133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>
      <c r="A717" s="116"/>
      <c r="B717" s="133"/>
      <c r="C717" s="133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>
      <c r="A718" s="116"/>
      <c r="B718" s="133"/>
      <c r="C718" s="133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>
      <c r="A719" s="116"/>
      <c r="B719" s="133"/>
      <c r="C719" s="133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>
      <c r="A720" s="116"/>
      <c r="B720" s="133"/>
      <c r="C720" s="133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>
      <c r="A721" s="116"/>
      <c r="B721" s="133"/>
      <c r="C721" s="133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>
      <c r="A722" s="116"/>
      <c r="B722" s="133"/>
      <c r="C722" s="133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>
      <c r="A723" s="116"/>
      <c r="B723" s="133"/>
      <c r="C723" s="133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>
      <c r="A724" s="116"/>
      <c r="B724" s="133"/>
      <c r="C724" s="133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>
      <c r="A725" s="116"/>
      <c r="B725" s="133"/>
      <c r="C725" s="133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>
      <c r="A726" s="116"/>
      <c r="B726" s="133"/>
      <c r="C726" s="133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>
      <c r="A727" s="116"/>
      <c r="B727" s="133"/>
      <c r="C727" s="133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>
      <c r="A728" s="116"/>
      <c r="B728" s="133"/>
      <c r="C728" s="133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>
      <c r="A729" s="116"/>
      <c r="B729" s="133"/>
      <c r="C729" s="133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>
      <c r="A730" s="116"/>
      <c r="B730" s="133"/>
      <c r="C730" s="133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>
      <c r="A731" s="116"/>
      <c r="B731" s="133"/>
      <c r="C731" s="133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>
      <c r="A732" s="116"/>
      <c r="B732" s="133"/>
      <c r="C732" s="133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>
      <c r="A733" s="116"/>
      <c r="B733" s="133"/>
      <c r="C733" s="133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>
      <c r="A734" s="116"/>
      <c r="B734" s="133"/>
      <c r="C734" s="133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>
      <c r="A735" s="116"/>
      <c r="B735" s="133"/>
      <c r="C735" s="133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>
      <c r="A736" s="116"/>
      <c r="B736" s="133"/>
      <c r="C736" s="133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>
      <c r="A737" s="116"/>
      <c r="B737" s="133"/>
      <c r="C737" s="133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>
      <c r="A738" s="116"/>
      <c r="B738" s="133"/>
      <c r="C738" s="133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>
      <c r="A739" s="116"/>
      <c r="B739" s="133"/>
      <c r="C739" s="133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>
      <c r="A740" s="116"/>
      <c r="B740" s="133"/>
      <c r="C740" s="133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>
      <c r="A741" s="116"/>
      <c r="B741" s="133"/>
      <c r="C741" s="133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>
      <c r="A742" s="116"/>
      <c r="B742" s="133"/>
      <c r="C742" s="133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>
      <c r="A743" s="116"/>
      <c r="B743" s="133"/>
      <c r="C743" s="133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>
      <c r="A744" s="116"/>
      <c r="B744" s="133"/>
      <c r="C744" s="133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>
      <c r="A745" s="116"/>
      <c r="B745" s="133"/>
      <c r="C745" s="133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>
      <c r="A746" s="116"/>
      <c r="B746" s="133"/>
      <c r="C746" s="133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>
      <c r="A747" s="116"/>
      <c r="B747" s="133"/>
      <c r="C747" s="133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>
      <c r="A748" s="116"/>
      <c r="B748" s="133"/>
      <c r="C748" s="133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>
      <c r="A749" s="116"/>
      <c r="B749" s="133"/>
      <c r="C749" s="133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>
      <c r="A750" s="116"/>
      <c r="B750" s="133"/>
      <c r="C750" s="133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>
      <c r="A751" s="116"/>
      <c r="B751" s="133"/>
      <c r="C751" s="133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>
      <c r="A752" s="116"/>
      <c r="B752" s="133"/>
      <c r="C752" s="133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>
      <c r="A753" s="116"/>
      <c r="B753" s="133"/>
      <c r="C753" s="133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>
      <c r="A754" s="116"/>
      <c r="B754" s="133"/>
      <c r="C754" s="133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>
      <c r="A755" s="116"/>
      <c r="B755" s="133"/>
      <c r="C755" s="133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>
      <c r="A756" s="116"/>
      <c r="B756" s="133"/>
      <c r="C756" s="133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>
      <c r="A757" s="116"/>
      <c r="B757" s="133"/>
      <c r="C757" s="133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>
      <c r="A758" s="116"/>
      <c r="B758" s="133"/>
      <c r="C758" s="133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>
      <c r="A759" s="116"/>
      <c r="B759" s="133"/>
      <c r="C759" s="133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>
      <c r="A760" s="116"/>
      <c r="B760" s="133"/>
      <c r="C760" s="133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>
      <c r="A761" s="116"/>
      <c r="B761" s="133"/>
      <c r="C761" s="133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>
      <c r="A762" s="116"/>
      <c r="B762" s="133"/>
      <c r="C762" s="133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>
      <c r="A763" s="116"/>
      <c r="B763" s="133"/>
      <c r="C763" s="133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>
      <c r="A764" s="116"/>
      <c r="B764" s="133"/>
      <c r="C764" s="133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>
      <c r="A765" s="116"/>
      <c r="B765" s="133"/>
      <c r="C765" s="133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>
      <c r="A766" s="116"/>
      <c r="B766" s="133"/>
      <c r="C766" s="133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>
      <c r="A767" s="116"/>
      <c r="B767" s="133"/>
      <c r="C767" s="133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>
      <c r="A768" s="116"/>
      <c r="B768" s="133"/>
      <c r="C768" s="133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>
      <c r="A769" s="116"/>
      <c r="B769" s="133"/>
      <c r="C769" s="133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>
      <c r="A770" s="116"/>
      <c r="B770" s="133"/>
      <c r="C770" s="133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>
      <c r="A771" s="116"/>
      <c r="B771" s="133"/>
      <c r="C771" s="133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>
      <c r="A772" s="116"/>
      <c r="B772" s="133"/>
      <c r="C772" s="133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>
      <c r="A773" s="116"/>
      <c r="B773" s="133"/>
      <c r="C773" s="133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>
      <c r="A774" s="116"/>
      <c r="B774" s="133"/>
      <c r="C774" s="133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>
      <c r="A775" s="116"/>
      <c r="B775" s="133"/>
      <c r="C775" s="133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>
      <c r="A776" s="116"/>
      <c r="B776" s="133"/>
      <c r="C776" s="133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>
      <c r="A777" s="116"/>
      <c r="B777" s="133"/>
      <c r="C777" s="133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>
      <c r="A778" s="116"/>
      <c r="B778" s="133"/>
      <c r="C778" s="133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>
      <c r="A779" s="116"/>
      <c r="B779" s="133"/>
      <c r="C779" s="133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>
      <c r="A780" s="116"/>
      <c r="B780" s="133"/>
      <c r="C780" s="133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>
      <c r="A781" s="116"/>
      <c r="B781" s="133"/>
      <c r="C781" s="133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>
      <c r="A782" s="116"/>
      <c r="B782" s="133"/>
      <c r="C782" s="133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>
      <c r="A783" s="116"/>
      <c r="B783" s="133"/>
      <c r="C783" s="133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>
      <c r="A784" s="116"/>
      <c r="B784" s="133"/>
      <c r="C784" s="133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>
      <c r="A785" s="116"/>
      <c r="B785" s="133"/>
      <c r="C785" s="133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>
      <c r="A786" s="116"/>
      <c r="B786" s="133"/>
      <c r="C786" s="133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>
      <c r="A787" s="116"/>
      <c r="B787" s="133"/>
      <c r="C787" s="133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>
      <c r="A788" s="116"/>
      <c r="B788" s="133"/>
      <c r="C788" s="133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>
      <c r="A789" s="116"/>
      <c r="B789" s="133"/>
      <c r="C789" s="133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>
      <c r="A790" s="116"/>
      <c r="B790" s="133"/>
      <c r="C790" s="133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>
      <c r="A791" s="116"/>
      <c r="B791" s="133"/>
      <c r="C791" s="133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>
      <c r="A792" s="116"/>
      <c r="B792" s="133"/>
      <c r="C792" s="133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>
      <c r="A793" s="116"/>
      <c r="B793" s="133"/>
      <c r="C793" s="133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>
      <c r="A794" s="116"/>
      <c r="B794" s="133"/>
      <c r="C794" s="133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>
      <c r="A795" s="116"/>
      <c r="B795" s="133"/>
      <c r="C795" s="133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>
      <c r="A796" s="116"/>
      <c r="B796" s="133"/>
      <c r="C796" s="133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>
      <c r="A797" s="116"/>
      <c r="B797" s="133"/>
      <c r="C797" s="133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>
      <c r="A798" s="116"/>
      <c r="B798" s="133"/>
      <c r="C798" s="133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>
      <c r="A799" s="116"/>
      <c r="B799" s="133"/>
      <c r="C799" s="133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>
      <c r="A800" s="116"/>
      <c r="B800" s="133"/>
      <c r="C800" s="133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>
      <c r="A801" s="116"/>
      <c r="B801" s="133"/>
      <c r="C801" s="133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>
      <c r="A802" s="116"/>
      <c r="B802" s="133"/>
      <c r="C802" s="133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>
      <c r="A803" s="116"/>
      <c r="B803" s="133"/>
      <c r="C803" s="133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>
      <c r="A804" s="116"/>
      <c r="B804" s="133"/>
      <c r="C804" s="133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>
      <c r="A805" s="116"/>
      <c r="B805" s="133"/>
      <c r="C805" s="133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>
      <c r="A806" s="116"/>
      <c r="B806" s="133"/>
      <c r="C806" s="133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>
      <c r="A807" s="116"/>
      <c r="B807" s="133"/>
      <c r="C807" s="133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>
      <c r="A808" s="116"/>
      <c r="B808" s="133"/>
      <c r="C808" s="133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>
      <c r="A809" s="116"/>
      <c r="B809" s="133"/>
      <c r="C809" s="133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>
      <c r="A810" s="116"/>
      <c r="B810" s="133"/>
      <c r="C810" s="133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>
      <c r="A811" s="116"/>
      <c r="B811" s="133"/>
      <c r="C811" s="133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>
      <c r="A812" s="116"/>
      <c r="B812" s="133"/>
      <c r="C812" s="133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>
      <c r="A813" s="116"/>
      <c r="B813" s="133"/>
      <c r="C813" s="133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>
      <c r="A814" s="116"/>
      <c r="B814" s="133"/>
      <c r="C814" s="133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>
      <c r="A815" s="116"/>
      <c r="B815" s="133"/>
      <c r="C815" s="133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>
      <c r="A816" s="116"/>
      <c r="B816" s="133"/>
      <c r="C816" s="133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>
      <c r="A817" s="116"/>
      <c r="B817" s="133"/>
      <c r="C817" s="133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>
      <c r="A818" s="116"/>
      <c r="B818" s="133"/>
      <c r="C818" s="133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>
      <c r="A819" s="116"/>
      <c r="B819" s="133"/>
      <c r="C819" s="133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>
      <c r="A820" s="116"/>
      <c r="B820" s="133"/>
      <c r="C820" s="133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>
      <c r="A821" s="116"/>
      <c r="B821" s="133"/>
      <c r="C821" s="133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>
      <c r="A822" s="116"/>
      <c r="B822" s="133"/>
      <c r="C822" s="133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>
      <c r="A823" s="116"/>
      <c r="B823" s="133"/>
      <c r="C823" s="133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>
      <c r="A824" s="116"/>
      <c r="B824" s="133"/>
      <c r="C824" s="133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>
      <c r="A825" s="116"/>
      <c r="B825" s="133"/>
      <c r="C825" s="133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>
      <c r="A826" s="116"/>
      <c r="B826" s="133"/>
      <c r="C826" s="133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>
      <c r="A827" s="116"/>
      <c r="B827" s="133"/>
      <c r="C827" s="133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>
      <c r="A828" s="116"/>
      <c r="B828" s="133"/>
      <c r="C828" s="133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>
      <c r="A829" s="116"/>
      <c r="B829" s="133"/>
      <c r="C829" s="133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>
      <c r="A830" s="116"/>
      <c r="B830" s="133"/>
      <c r="C830" s="133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>
      <c r="A831" s="116"/>
      <c r="B831" s="133"/>
      <c r="C831" s="133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>
      <c r="A832" s="116"/>
      <c r="B832" s="133"/>
      <c r="C832" s="133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>
      <c r="A833" s="116"/>
      <c r="B833" s="133"/>
      <c r="C833" s="133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>
      <c r="A834" s="116"/>
      <c r="B834" s="133"/>
      <c r="C834" s="133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>
      <c r="A835" s="116"/>
      <c r="B835" s="133"/>
      <c r="C835" s="133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>
      <c r="A836" s="116"/>
      <c r="B836" s="133"/>
      <c r="C836" s="133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>
      <c r="A837" s="116"/>
      <c r="B837" s="133"/>
      <c r="C837" s="133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>
      <c r="A838" s="116"/>
      <c r="B838" s="133"/>
      <c r="C838" s="133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>
      <c r="A839" s="116"/>
      <c r="B839" s="133"/>
      <c r="C839" s="133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>
      <c r="A840" s="116"/>
      <c r="B840" s="133"/>
      <c r="C840" s="133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>
      <c r="A841" s="116"/>
      <c r="B841" s="133"/>
      <c r="C841" s="133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>
      <c r="A842" s="116"/>
      <c r="B842" s="133"/>
      <c r="C842" s="133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>
      <c r="A843" s="116"/>
      <c r="B843" s="133"/>
      <c r="C843" s="133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>
      <c r="A844" s="116"/>
      <c r="B844" s="133"/>
      <c r="C844" s="133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>
      <c r="A845" s="116"/>
      <c r="B845" s="133"/>
      <c r="C845" s="133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>
      <c r="A846" s="116"/>
      <c r="B846" s="133"/>
      <c r="C846" s="133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>
      <c r="A847" s="116"/>
      <c r="B847" s="133"/>
      <c r="C847" s="133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>
      <c r="A848" s="116"/>
      <c r="B848" s="133"/>
      <c r="C848" s="133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>
      <c r="A849" s="116"/>
      <c r="B849" s="133"/>
      <c r="C849" s="133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>
      <c r="A850" s="116"/>
      <c r="B850" s="133"/>
      <c r="C850" s="133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>
      <c r="A851" s="116"/>
      <c r="B851" s="133"/>
      <c r="C851" s="133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>
      <c r="A852" s="116"/>
      <c r="B852" s="133"/>
      <c r="C852" s="133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>
      <c r="A853" s="116"/>
      <c r="B853" s="133"/>
      <c r="C853" s="133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>
      <c r="A854" s="116"/>
      <c r="B854" s="133"/>
      <c r="C854" s="133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>
      <c r="A855" s="116"/>
      <c r="B855" s="133"/>
      <c r="C855" s="133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>
      <c r="A856" s="116"/>
      <c r="B856" s="133"/>
      <c r="C856" s="133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>
      <c r="A857" s="116"/>
      <c r="B857" s="133"/>
      <c r="C857" s="133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>
      <c r="A858" s="116"/>
      <c r="B858" s="133"/>
      <c r="C858" s="133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>
      <c r="A859" s="116"/>
      <c r="B859" s="133"/>
      <c r="C859" s="133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>
      <c r="A860" s="116"/>
      <c r="B860" s="133"/>
      <c r="C860" s="133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>
      <c r="A861" s="116"/>
      <c r="B861" s="133"/>
      <c r="C861" s="133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>
      <c r="A862" s="116"/>
      <c r="B862" s="133"/>
      <c r="C862" s="133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>
      <c r="A863" s="116"/>
      <c r="B863" s="133"/>
      <c r="C863" s="133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>
      <c r="A864" s="116"/>
      <c r="B864" s="133"/>
      <c r="C864" s="133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>
      <c r="A865" s="116"/>
      <c r="B865" s="133"/>
      <c r="C865" s="133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>
      <c r="A866" s="116"/>
      <c r="B866" s="133"/>
      <c r="C866" s="133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>
      <c r="A867" s="116"/>
      <c r="B867" s="133"/>
      <c r="C867" s="133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>
      <c r="A868" s="116"/>
      <c r="B868" s="133"/>
      <c r="C868" s="133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>
      <c r="A869" s="116"/>
      <c r="B869" s="133"/>
      <c r="C869" s="133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>
      <c r="A870" s="116"/>
      <c r="B870" s="133"/>
      <c r="C870" s="133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>
      <c r="A871" s="116"/>
      <c r="B871" s="133"/>
      <c r="C871" s="133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>
      <c r="A872" s="116"/>
      <c r="B872" s="133"/>
      <c r="C872" s="133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>
      <c r="A873" s="116"/>
      <c r="B873" s="133"/>
      <c r="C873" s="133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>
      <c r="A874" s="116"/>
      <c r="B874" s="133"/>
      <c r="C874" s="133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>
      <c r="A875" s="116"/>
      <c r="B875" s="133"/>
      <c r="C875" s="133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>
      <c r="A876" s="116"/>
      <c r="B876" s="133"/>
      <c r="C876" s="133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>
      <c r="A877" s="116"/>
      <c r="B877" s="133"/>
      <c r="C877" s="133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>
      <c r="A878" s="116"/>
      <c r="B878" s="133"/>
      <c r="C878" s="133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>
      <c r="A879" s="116"/>
      <c r="B879" s="133"/>
      <c r="C879" s="133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>
      <c r="A880" s="116"/>
      <c r="B880" s="133"/>
      <c r="C880" s="133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>
      <c r="A881" s="116"/>
      <c r="B881" s="133"/>
      <c r="C881" s="133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>
      <c r="A882" s="116"/>
      <c r="B882" s="133"/>
      <c r="C882" s="133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>
      <c r="A883" s="116"/>
      <c r="B883" s="133"/>
      <c r="C883" s="133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>
      <c r="A884" s="116"/>
      <c r="B884" s="133"/>
      <c r="C884" s="133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>
      <c r="A885" s="116"/>
      <c r="B885" s="133"/>
      <c r="C885" s="133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>
      <c r="A886" s="116"/>
      <c r="B886" s="133"/>
      <c r="C886" s="133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>
      <c r="A887" s="116"/>
      <c r="B887" s="133"/>
      <c r="C887" s="133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>
      <c r="A888" s="116"/>
      <c r="B888" s="133"/>
      <c r="C888" s="133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>
      <c r="A889" s="116"/>
      <c r="B889" s="133"/>
      <c r="C889" s="133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>
      <c r="A890" s="116"/>
      <c r="B890" s="133"/>
      <c r="C890" s="133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>
      <c r="A891" s="116"/>
      <c r="B891" s="133"/>
      <c r="C891" s="133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>
      <c r="A892" s="116"/>
      <c r="B892" s="133"/>
      <c r="C892" s="133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>
      <c r="A893" s="116"/>
      <c r="B893" s="133"/>
      <c r="C893" s="133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>
      <c r="A894" s="116"/>
      <c r="B894" s="133"/>
      <c r="C894" s="133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>
      <c r="A895" s="116"/>
      <c r="B895" s="133"/>
      <c r="C895" s="133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>
      <c r="A896" s="116"/>
      <c r="B896" s="133"/>
      <c r="C896" s="133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>
      <c r="A897" s="116"/>
      <c r="B897" s="133"/>
      <c r="C897" s="133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>
      <c r="A898" s="116"/>
      <c r="B898" s="133"/>
      <c r="C898" s="133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>
      <c r="A899" s="116"/>
      <c r="B899" s="133"/>
      <c r="C899" s="133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>
      <c r="A900" s="116"/>
      <c r="B900" s="133"/>
      <c r="C900" s="133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>
      <c r="A901" s="116"/>
      <c r="B901" s="133"/>
      <c r="C901" s="133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>
      <c r="A902" s="116"/>
      <c r="B902" s="133"/>
      <c r="C902" s="133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>
      <c r="A903" s="116"/>
      <c r="B903" s="133"/>
      <c r="C903" s="133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>
      <c r="A904" s="116"/>
      <c r="B904" s="133"/>
      <c r="C904" s="133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>
      <c r="A905" s="116"/>
      <c r="B905" s="133"/>
      <c r="C905" s="133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>
      <c r="A906" s="116"/>
      <c r="B906" s="133"/>
      <c r="C906" s="133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>
      <c r="A907" s="116"/>
      <c r="B907" s="133"/>
      <c r="C907" s="133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>
      <c r="A908" s="116"/>
      <c r="B908" s="133"/>
      <c r="C908" s="133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>
      <c r="A909" s="116"/>
      <c r="B909" s="133"/>
      <c r="C909" s="133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>
      <c r="A910" s="116"/>
      <c r="B910" s="133"/>
      <c r="C910" s="133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>
      <c r="A911" s="116"/>
      <c r="B911" s="133"/>
      <c r="C911" s="133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>
      <c r="A912" s="116"/>
      <c r="B912" s="133"/>
      <c r="C912" s="133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>
      <c r="A913" s="116"/>
      <c r="B913" s="133"/>
      <c r="C913" s="133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>
      <c r="A914" s="116"/>
      <c r="B914" s="133"/>
      <c r="C914" s="133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>
      <c r="A915" s="116"/>
      <c r="B915" s="133"/>
      <c r="C915" s="133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>
      <c r="A916" s="116"/>
      <c r="B916" s="133"/>
      <c r="C916" s="133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>
      <c r="A917" s="116"/>
      <c r="B917" s="133"/>
      <c r="C917" s="133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>
      <c r="A918" s="116"/>
      <c r="B918" s="133"/>
      <c r="C918" s="133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>
      <c r="A919" s="116"/>
      <c r="B919" s="133"/>
      <c r="C919" s="133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>
      <c r="A920" s="116"/>
      <c r="B920" s="133"/>
      <c r="C920" s="133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>
      <c r="A921" s="116"/>
      <c r="B921" s="133"/>
      <c r="C921" s="133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>
      <c r="A922" s="116"/>
      <c r="B922" s="133"/>
      <c r="C922" s="133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>
      <c r="A923" s="116"/>
      <c r="B923" s="133"/>
      <c r="C923" s="133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>
      <c r="A924" s="116"/>
      <c r="B924" s="133"/>
      <c r="C924" s="133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>
      <c r="A925" s="116"/>
      <c r="B925" s="133"/>
      <c r="C925" s="133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>
      <c r="A926" s="116"/>
      <c r="B926" s="133"/>
      <c r="C926" s="133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>
      <c r="A927" s="116"/>
      <c r="B927" s="133"/>
      <c r="C927" s="133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>
      <c r="A928" s="116"/>
      <c r="B928" s="133"/>
      <c r="C928" s="133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>
      <c r="A929" s="116"/>
      <c r="B929" s="133"/>
      <c r="C929" s="133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>
      <c r="A930" s="116"/>
      <c r="B930" s="133"/>
      <c r="C930" s="133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>
      <c r="A931" s="116"/>
      <c r="B931" s="133"/>
      <c r="C931" s="133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>
      <c r="A932" s="116"/>
      <c r="B932" s="133"/>
      <c r="C932" s="133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>
      <c r="A933" s="116"/>
      <c r="B933" s="133"/>
      <c r="C933" s="133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>
      <c r="A934" s="116"/>
      <c r="B934" s="133"/>
      <c r="C934" s="133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>
      <c r="A935" s="116"/>
      <c r="B935" s="133"/>
      <c r="C935" s="133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>
      <c r="A936" s="116"/>
      <c r="B936" s="133"/>
      <c r="C936" s="133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>
      <c r="A937" s="116"/>
      <c r="B937" s="133"/>
      <c r="C937" s="133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>
      <c r="A938" s="116"/>
      <c r="B938" s="133"/>
      <c r="C938" s="133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>
      <c r="A939" s="116"/>
      <c r="B939" s="133"/>
      <c r="C939" s="133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>
      <c r="A940" s="116"/>
      <c r="B940" s="133"/>
      <c r="C940" s="133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>
      <c r="A941" s="116"/>
      <c r="B941" s="133"/>
      <c r="C941" s="133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>
      <c r="A942" s="116"/>
      <c r="B942" s="133"/>
      <c r="C942" s="133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>
      <c r="A943" s="116"/>
      <c r="B943" s="133"/>
      <c r="C943" s="133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>
      <c r="A944" s="116"/>
      <c r="B944" s="133"/>
      <c r="C944" s="133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>
      <c r="A945" s="116"/>
      <c r="B945" s="133"/>
      <c r="C945" s="133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>
      <c r="A946" s="116"/>
      <c r="B946" s="133"/>
      <c r="C946" s="133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>
      <c r="A947" s="116"/>
      <c r="B947" s="133"/>
      <c r="C947" s="133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>
      <c r="A948" s="116"/>
      <c r="B948" s="133"/>
      <c r="C948" s="133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>
      <c r="A949" s="116"/>
      <c r="B949" s="133"/>
      <c r="C949" s="133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>
      <c r="A950" s="116"/>
      <c r="B950" s="133"/>
      <c r="C950" s="133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>
      <c r="A951" s="116"/>
      <c r="B951" s="133"/>
      <c r="C951" s="133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>
      <c r="A952" s="116"/>
      <c r="B952" s="133"/>
      <c r="C952" s="133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>
      <c r="A953" s="116"/>
      <c r="B953" s="133"/>
      <c r="C953" s="133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>
      <c r="A954" s="116"/>
      <c r="B954" s="133"/>
      <c r="C954" s="133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>
      <c r="A955" s="116"/>
      <c r="B955" s="133"/>
      <c r="C955" s="133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>
      <c r="A956" s="116"/>
      <c r="B956" s="133"/>
      <c r="C956" s="133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>
      <c r="A957" s="116"/>
      <c r="B957" s="133"/>
      <c r="C957" s="133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>
      <c r="A958" s="116"/>
      <c r="B958" s="133"/>
      <c r="C958" s="133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>
      <c r="A959" s="116"/>
      <c r="B959" s="133"/>
      <c r="C959" s="133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>
      <c r="A960" s="116"/>
      <c r="B960" s="133"/>
      <c r="C960" s="133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>
      <c r="A961" s="116"/>
      <c r="B961" s="133"/>
      <c r="C961" s="133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>
      <c r="A962" s="116"/>
      <c r="B962" s="133"/>
      <c r="C962" s="133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>
      <c r="A963" s="116"/>
      <c r="B963" s="133"/>
      <c r="C963" s="133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>
      <c r="A964" s="116"/>
      <c r="B964" s="133"/>
      <c r="C964" s="133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>
      <c r="A965" s="116"/>
      <c r="B965" s="133"/>
      <c r="C965" s="133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>
      <c r="A966" s="116"/>
      <c r="B966" s="133"/>
      <c r="C966" s="133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>
      <c r="A967" s="116"/>
      <c r="B967" s="133"/>
      <c r="C967" s="133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>
      <c r="A968" s="116"/>
      <c r="B968" s="133"/>
      <c r="C968" s="133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>
      <c r="A969" s="116"/>
      <c r="B969" s="133"/>
      <c r="C969" s="133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>
      <c r="A970" s="116"/>
      <c r="B970" s="133"/>
      <c r="C970" s="133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>
      <c r="A971" s="116"/>
      <c r="B971" s="133"/>
      <c r="C971" s="133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>
      <c r="A972" s="116"/>
      <c r="B972" s="133"/>
      <c r="C972" s="133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>
      <c r="A973" s="116"/>
      <c r="B973" s="133"/>
      <c r="C973" s="133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>
      <c r="A974" s="116"/>
      <c r="B974" s="133"/>
      <c r="C974" s="133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>
      <c r="A975" s="116"/>
      <c r="B975" s="133"/>
      <c r="C975" s="133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>
      <c r="A976" s="116"/>
      <c r="B976" s="133"/>
      <c r="C976" s="133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>
      <c r="A977" s="116"/>
      <c r="B977" s="133"/>
      <c r="C977" s="133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>
      <c r="A978" s="116"/>
      <c r="B978" s="133"/>
      <c r="C978" s="133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>
      <c r="A979" s="116"/>
      <c r="B979" s="133"/>
      <c r="C979" s="133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>
      <c r="A980" s="116"/>
      <c r="B980" s="133"/>
      <c r="C980" s="133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>
      <c r="A981" s="116"/>
      <c r="B981" s="133"/>
      <c r="C981" s="133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>
      <c r="A982" s="116"/>
      <c r="B982" s="133"/>
      <c r="C982" s="133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>
      <c r="A983" s="116"/>
      <c r="B983" s="133"/>
      <c r="C983" s="133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>
      <c r="A984" s="116"/>
      <c r="B984" s="133"/>
      <c r="C984" s="133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>
      <c r="A985" s="116"/>
      <c r="B985" s="133"/>
      <c r="C985" s="133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>
      <c r="A986" s="116"/>
      <c r="B986" s="133"/>
      <c r="C986" s="133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>
      <c r="A987" s="116"/>
      <c r="B987" s="133"/>
      <c r="C987" s="133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>
      <c r="A988" s="116"/>
      <c r="B988" s="133"/>
      <c r="C988" s="133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>
      <c r="A989" s="116"/>
      <c r="B989" s="133"/>
      <c r="C989" s="133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>
      <c r="A990" s="116"/>
      <c r="B990" s="133"/>
      <c r="C990" s="133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>
      <c r="A991" s="116"/>
      <c r="B991" s="133"/>
      <c r="C991" s="133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>
      <c r="A992" s="116"/>
      <c r="B992" s="133"/>
      <c r="C992" s="133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>
      <c r="A993" s="116"/>
      <c r="B993" s="133"/>
      <c r="C993" s="133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>
      <c r="A994" s="116"/>
      <c r="B994" s="133"/>
      <c r="C994" s="133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>
      <c r="A995" s="116"/>
      <c r="B995" s="133"/>
      <c r="C995" s="133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>
      <c r="A996" s="116"/>
      <c r="B996" s="133"/>
      <c r="C996" s="133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>
      <c r="A997" s="116"/>
      <c r="B997" s="133"/>
      <c r="C997" s="133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>
      <c r="A998" s="116"/>
      <c r="B998" s="133"/>
      <c r="C998" s="133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  <row r="999">
      <c r="A999" s="116"/>
      <c r="B999" s="133"/>
      <c r="C999" s="133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</row>
    <row r="1000">
      <c r="A1000" s="116"/>
      <c r="B1000" s="133"/>
      <c r="C1000" s="133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</row>
    <row r="1001">
      <c r="A1001" s="116"/>
      <c r="B1001" s="133"/>
      <c r="C1001" s="133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</row>
  </sheetData>
  <drawing r:id="rId1"/>
</worksheet>
</file>